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1BF75E64-36B4-4512-B9E4-3ED0869CA821}"/>
  <workbookPr codeName="ThisWorkbook"/>
  <mc:AlternateContent xmlns:mc="http://schemas.openxmlformats.org/markup-compatibility/2006">
    <mc:Choice Requires="x15">
      <x15ac:absPath xmlns:x15ac="http://schemas.microsoft.com/office/spreadsheetml/2010/11/ac" url="C:\Users\nyang\Downloads\"/>
    </mc:Choice>
  </mc:AlternateContent>
  <xr:revisionPtr revIDLastSave="0" documentId="13_ncr:1_{B118D66C-D537-49CB-903D-F23D0B996852}" xr6:coauthVersionLast="47" xr6:coauthVersionMax="47" xr10:uidLastSave="{00000000-0000-0000-0000-000000000000}"/>
  <bookViews>
    <workbookView xWindow="-120" yWindow="-120" windowWidth="29040" windowHeight="15840" firstSheet="2" activeTab="7" xr2:uid="{00000000-000D-0000-FFFF-FFFF00000000}"/>
  </bookViews>
  <sheets>
    <sheet name="Instructions" sheetId="18" r:id="rId1"/>
    <sheet name="Cover Page" sheetId="12" r:id="rId2"/>
    <sheet name="Summary Sheet" sheetId="13" r:id="rId3"/>
    <sheet name="Income Statement" sheetId="6" r:id="rId4"/>
    <sheet name="Balance Sheet" sheetId="7" r:id="rId5"/>
    <sheet name="Cash Flow" sheetId="10" r:id="rId6"/>
    <sheet name="Beta" sheetId="17" r:id="rId7"/>
    <sheet name="WACC &amp; Valuation" sheetId="15" r:id="rId8"/>
    <sheet name="Tornado Chart" sheetId="21" r:id="rId9"/>
    <sheet name="Multiples based Valuation" sheetId="22" r:id="rId10"/>
    <sheet name="Customer wise Revenue" sheetId="23" r:id="rId11"/>
    <sheet name="Ratios &amp; Indicators" sheetId="24" r:id="rId12"/>
    <sheet name="SWOT Analysis" sheetId="25" r:id="rId13"/>
    <sheet name="Key Products" sheetId="26" r:id="rId14"/>
  </sheets>
  <definedNames>
    <definedName name="average_amortization_rate">#REF!</definedName>
    <definedName name="Average_depreciation_rate">#REF!</definedName>
    <definedName name="average_income_to_cash">#REF!</definedName>
    <definedName name="Finfo">INDIRECT((ADDRESS(1,1,,,INDIRECT("H24"))))</definedName>
    <definedName name="INTANGIBLE_2017">#REF!</definedName>
    <definedName name="PPE_2017">#REF!</definedName>
    <definedName name="sales_2017">#REF!</definedName>
    <definedName name="SWOT">INDIRECT(ADDRESS(1,1,,,INDIRECT("H51")))</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2" i="10" l="1"/>
  <c r="G19" i="10"/>
  <c r="H38" i="7"/>
  <c r="B17" i="15"/>
  <c r="P51" i="13" a="1"/>
  <c r="Q24" i="13" a="1"/>
  <c r="P51" i="13" l="1"/>
  <c r="Q24" i="13"/>
  <c r="E17" i="24"/>
  <c r="F17" i="24"/>
  <c r="G17" i="24"/>
  <c r="H17" i="24"/>
  <c r="E18" i="24"/>
  <c r="F18" i="24"/>
  <c r="G18" i="24"/>
  <c r="H18" i="24"/>
  <c r="I18" i="24"/>
  <c r="J18" i="24"/>
  <c r="K18" i="24"/>
  <c r="L18" i="24"/>
  <c r="M18" i="24"/>
  <c r="E19" i="24"/>
  <c r="F19" i="24"/>
  <c r="G19" i="24"/>
  <c r="H19" i="24"/>
  <c r="I19" i="24"/>
  <c r="J19" i="24"/>
  <c r="K19" i="24"/>
  <c r="L19" i="24"/>
  <c r="M19" i="24"/>
  <c r="D19" i="24"/>
  <c r="D18" i="24"/>
  <c r="D17" i="24"/>
  <c r="E12" i="24"/>
  <c r="F12" i="24"/>
  <c r="G12" i="24"/>
  <c r="H12" i="24"/>
  <c r="I12" i="24"/>
  <c r="J12" i="24"/>
  <c r="K12" i="24"/>
  <c r="L12" i="24"/>
  <c r="M12" i="24"/>
  <c r="E13" i="24"/>
  <c r="F13" i="24"/>
  <c r="G13" i="24"/>
  <c r="H13" i="24"/>
  <c r="I13" i="24"/>
  <c r="J13" i="24"/>
  <c r="K13" i="24"/>
  <c r="L13" i="24"/>
  <c r="M13" i="24"/>
  <c r="E14" i="24"/>
  <c r="F14" i="24"/>
  <c r="G14" i="24"/>
  <c r="H14" i="24"/>
  <c r="I14" i="24"/>
  <c r="J14" i="24"/>
  <c r="K14" i="24"/>
  <c r="L14" i="24"/>
  <c r="M14" i="24"/>
  <c r="E15" i="24"/>
  <c r="F15" i="24"/>
  <c r="G15" i="24"/>
  <c r="H15" i="24"/>
  <c r="D15" i="24"/>
  <c r="D14" i="24"/>
  <c r="D13" i="24"/>
  <c r="D12" i="24"/>
  <c r="E10" i="24"/>
  <c r="F10" i="24"/>
  <c r="G10" i="24"/>
  <c r="H10" i="24"/>
  <c r="I10" i="24"/>
  <c r="J10" i="24"/>
  <c r="K10" i="24"/>
  <c r="L10" i="24"/>
  <c r="M10" i="24"/>
  <c r="D10" i="24"/>
  <c r="D8" i="24"/>
  <c r="E8" i="24"/>
  <c r="F8" i="24"/>
  <c r="G8" i="24"/>
  <c r="H8" i="24"/>
  <c r="I8" i="24"/>
  <c r="J8" i="24"/>
  <c r="K8" i="24"/>
  <c r="L8" i="24"/>
  <c r="M8" i="24"/>
  <c r="D9" i="24"/>
  <c r="E9" i="24"/>
  <c r="F9" i="24"/>
  <c r="G9" i="24"/>
  <c r="H9" i="24"/>
  <c r="C10" i="24"/>
  <c r="C9" i="24"/>
  <c r="C8" i="24"/>
  <c r="D4" i="24" l="1"/>
  <c r="E4" i="24"/>
  <c r="F4" i="24"/>
  <c r="G4" i="24"/>
  <c r="H4" i="24"/>
  <c r="I4" i="24"/>
  <c r="J4" i="24"/>
  <c r="K4" i="24"/>
  <c r="L4" i="24"/>
  <c r="M4" i="24"/>
  <c r="D5" i="24"/>
  <c r="E5" i="24"/>
  <c r="F5" i="24"/>
  <c r="G5" i="24"/>
  <c r="H5" i="24"/>
  <c r="D6" i="24"/>
  <c r="E6" i="24"/>
  <c r="F6" i="24"/>
  <c r="G6" i="24"/>
  <c r="H6" i="24"/>
  <c r="C6" i="24"/>
  <c r="C5" i="24"/>
  <c r="C4" i="24"/>
  <c r="W70" i="13" l="1"/>
  <c r="S68" i="13"/>
  <c r="T68" i="13"/>
  <c r="U68" i="13"/>
  <c r="P65" i="13"/>
  <c r="P59" i="13"/>
  <c r="P57" i="13" s="1"/>
  <c r="B27" i="10" l="1"/>
  <c r="B25" i="10"/>
  <c r="B20" i="10"/>
  <c r="B18" i="10"/>
  <c r="B19" i="10"/>
  <c r="B13" i="10"/>
  <c r="B14" i="10"/>
  <c r="B15" i="10"/>
  <c r="B38" i="7"/>
  <c r="B39" i="7" s="1"/>
  <c r="B3" i="7" s="1"/>
  <c r="B36" i="7"/>
  <c r="B30" i="7"/>
  <c r="B31" i="7" s="1"/>
  <c r="B26" i="7"/>
  <c r="B18" i="7"/>
  <c r="B19" i="7" s="1"/>
  <c r="B11" i="7"/>
  <c r="B12" i="10"/>
  <c r="C43" i="6"/>
  <c r="D43" i="6"/>
  <c r="E43" i="6"/>
  <c r="F43" i="6"/>
  <c r="B43" i="6"/>
  <c r="C6" i="23" l="1"/>
  <c r="C10" i="23" s="1"/>
  <c r="D6" i="23"/>
  <c r="D9" i="23" s="1"/>
  <c r="E6" i="23"/>
  <c r="E9" i="23" s="1"/>
  <c r="F6" i="23"/>
  <c r="F9" i="23" s="1"/>
  <c r="B6" i="23"/>
  <c r="B10" i="23" s="1"/>
  <c r="E24" i="22"/>
  <c r="E23" i="22"/>
  <c r="C26" i="22"/>
  <c r="D26" i="22"/>
  <c r="C27" i="22"/>
  <c r="D27" i="22"/>
  <c r="C28" i="22"/>
  <c r="D28" i="22"/>
  <c r="C22" i="22"/>
  <c r="D22" i="22"/>
  <c r="C18" i="22"/>
  <c r="B22" i="22"/>
  <c r="B26" i="22"/>
  <c r="B27" i="22"/>
  <c r="E27" i="22" s="1"/>
  <c r="B33" i="22" s="1"/>
  <c r="B9" i="22"/>
  <c r="B6" i="22"/>
  <c r="B5" i="22"/>
  <c r="B3" i="22"/>
  <c r="G6" i="23" l="1"/>
  <c r="E7" i="23"/>
  <c r="F7" i="23"/>
  <c r="C7" i="23"/>
  <c r="D7" i="23"/>
  <c r="C11" i="23"/>
  <c r="F10" i="23"/>
  <c r="F11" i="23"/>
  <c r="C9" i="23"/>
  <c r="B11" i="23"/>
  <c r="B9" i="23"/>
  <c r="E11" i="23"/>
  <c r="E10" i="23"/>
  <c r="D11" i="23"/>
  <c r="D10" i="23"/>
  <c r="B28" i="22"/>
  <c r="E28" i="22" s="1"/>
  <c r="B34" i="22" s="1"/>
  <c r="C34" i="22" s="1"/>
  <c r="E26" i="22"/>
  <c r="B32" i="22" s="1"/>
  <c r="C32" i="22" s="1"/>
  <c r="E6" i="21"/>
  <c r="D6" i="21"/>
  <c r="C6" i="21"/>
  <c r="B6" i="21"/>
  <c r="E5" i="21"/>
  <c r="D5" i="21"/>
  <c r="C5" i="21"/>
  <c r="B5" i="21"/>
  <c r="E4" i="21"/>
  <c r="D4" i="21"/>
  <c r="C4" i="21"/>
  <c r="B4" i="21"/>
  <c r="G3" i="23" l="1"/>
  <c r="H6" i="23"/>
  <c r="G4" i="23"/>
  <c r="G5" i="23"/>
  <c r="F19" i="15"/>
  <c r="F11" i="15"/>
  <c r="F10" i="15"/>
  <c r="F5" i="15"/>
  <c r="F6" i="15"/>
  <c r="I6" i="23" l="1"/>
  <c r="H3" i="23"/>
  <c r="H4" i="23"/>
  <c r="H5" i="23"/>
  <c r="F9" i="15"/>
  <c r="J6" i="23" l="1"/>
  <c r="I4" i="23"/>
  <c r="I3" i="23"/>
  <c r="I5" i="23"/>
  <c r="R5" i="6"/>
  <c r="Q5" i="6"/>
  <c r="R4" i="6"/>
  <c r="S4" i="6"/>
  <c r="S5" i="6" s="1"/>
  <c r="T4" i="6"/>
  <c r="T5" i="6" s="1"/>
  <c r="U4" i="6"/>
  <c r="B4" i="22" s="1"/>
  <c r="C33" i="22" s="1"/>
  <c r="Q4" i="6"/>
  <c r="B19" i="15"/>
  <c r="F48" i="6"/>
  <c r="B12" i="15"/>
  <c r="B11" i="15"/>
  <c r="B3" i="15"/>
  <c r="B9" i="15"/>
  <c r="B7" i="15"/>
  <c r="D34" i="22" l="1"/>
  <c r="E34" i="22" s="1"/>
  <c r="D33" i="22"/>
  <c r="E33" i="22" s="1"/>
  <c r="D32" i="22"/>
  <c r="E32" i="22" s="1"/>
  <c r="F17" i="15"/>
  <c r="U5" i="6"/>
  <c r="K6" i="23"/>
  <c r="J5" i="23"/>
  <c r="J4" i="23"/>
  <c r="J3" i="23"/>
  <c r="B14" i="15"/>
  <c r="B2" i="15"/>
  <c r="U61" i="13" l="1"/>
  <c r="U62" i="13" s="1"/>
  <c r="P66" i="13" s="1"/>
  <c r="E35" i="22"/>
  <c r="K5" i="23"/>
  <c r="K4" i="23"/>
  <c r="K3" i="23"/>
  <c r="B4" i="15"/>
  <c r="B15" i="15" s="1"/>
  <c r="J21" i="17"/>
  <c r="F62" i="17"/>
  <c r="E62" i="17"/>
  <c r="F61" i="17"/>
  <c r="E61" i="17"/>
  <c r="F60" i="17"/>
  <c r="E60" i="17"/>
  <c r="F59" i="17"/>
  <c r="E59" i="17"/>
  <c r="F58" i="17"/>
  <c r="E58" i="17"/>
  <c r="F57" i="17"/>
  <c r="E57" i="17"/>
  <c r="F56" i="17"/>
  <c r="E56" i="17"/>
  <c r="F55" i="17"/>
  <c r="E55" i="17"/>
  <c r="F54" i="17"/>
  <c r="E54" i="17"/>
  <c r="F53" i="17"/>
  <c r="E53" i="17"/>
  <c r="F52" i="17"/>
  <c r="E52" i="17"/>
  <c r="F51" i="17"/>
  <c r="E51" i="17"/>
  <c r="F50" i="17"/>
  <c r="E50" i="17"/>
  <c r="F49" i="17"/>
  <c r="E49" i="17"/>
  <c r="F48" i="17"/>
  <c r="E48" i="17"/>
  <c r="F47" i="17"/>
  <c r="E47" i="17"/>
  <c r="F46" i="17"/>
  <c r="E46" i="17"/>
  <c r="F45" i="17"/>
  <c r="E45" i="17"/>
  <c r="F44" i="17"/>
  <c r="E44" i="17"/>
  <c r="F43" i="17"/>
  <c r="E43" i="17"/>
  <c r="F42" i="17"/>
  <c r="E42" i="17"/>
  <c r="F41" i="17"/>
  <c r="E41" i="17"/>
  <c r="F40" i="17"/>
  <c r="E40" i="17"/>
  <c r="F39" i="17"/>
  <c r="E39" i="17"/>
  <c r="F38" i="17"/>
  <c r="E38" i="17"/>
  <c r="F37" i="17"/>
  <c r="E37" i="17"/>
  <c r="F36" i="17"/>
  <c r="E36" i="17"/>
  <c r="F35" i="17"/>
  <c r="E35" i="17"/>
  <c r="F34" i="17"/>
  <c r="E34" i="17"/>
  <c r="F33" i="17"/>
  <c r="E33" i="17"/>
  <c r="F32" i="17"/>
  <c r="E32" i="17"/>
  <c r="F31" i="17"/>
  <c r="E31" i="17"/>
  <c r="F30" i="17"/>
  <c r="E30" i="17"/>
  <c r="F29" i="17"/>
  <c r="E29" i="17"/>
  <c r="F28" i="17"/>
  <c r="E28" i="17"/>
  <c r="F27" i="17"/>
  <c r="E27" i="17"/>
  <c r="F26" i="17"/>
  <c r="E26" i="17"/>
  <c r="F25" i="17"/>
  <c r="E25" i="17"/>
  <c r="F24" i="17"/>
  <c r="E24" i="17"/>
  <c r="F23" i="17"/>
  <c r="E23" i="17"/>
  <c r="F22" i="17"/>
  <c r="E22" i="17"/>
  <c r="F21" i="17"/>
  <c r="E21" i="17"/>
  <c r="F20" i="17"/>
  <c r="E20" i="17"/>
  <c r="F19" i="17"/>
  <c r="E19" i="17"/>
  <c r="F18" i="17"/>
  <c r="E18" i="17"/>
  <c r="F17" i="17"/>
  <c r="E17" i="17"/>
  <c r="F16" i="17"/>
  <c r="E16" i="17"/>
  <c r="F15" i="17"/>
  <c r="E15" i="17"/>
  <c r="F14" i="17"/>
  <c r="E14" i="17"/>
  <c r="F13" i="17"/>
  <c r="E13" i="17"/>
  <c r="F12" i="17"/>
  <c r="E12" i="17"/>
  <c r="F11" i="17"/>
  <c r="E11" i="17"/>
  <c r="F10" i="17"/>
  <c r="E10" i="17"/>
  <c r="F9" i="17"/>
  <c r="E9" i="17"/>
  <c r="F8" i="17"/>
  <c r="E8" i="17"/>
  <c r="F7" i="17"/>
  <c r="E7" i="17"/>
  <c r="F6" i="17"/>
  <c r="E6" i="17"/>
  <c r="F5" i="17"/>
  <c r="E5" i="17"/>
  <c r="F4" i="17"/>
  <c r="E4" i="17"/>
  <c r="T69" i="13" l="1"/>
  <c r="S69" i="13"/>
  <c r="U69" i="13"/>
  <c r="G38" i="6"/>
  <c r="K22" i="10" l="1"/>
  <c r="J22" i="10"/>
  <c r="I22" i="10"/>
  <c r="H22" i="10"/>
  <c r="G22" i="10"/>
  <c r="C21" i="10"/>
  <c r="D21" i="10"/>
  <c r="E21" i="10"/>
  <c r="F21" i="10"/>
  <c r="B21" i="10"/>
  <c r="B23" i="10" s="1"/>
  <c r="D55" i="7"/>
  <c r="E55" i="7"/>
  <c r="F55" i="7"/>
  <c r="G55" i="7"/>
  <c r="C55" i="7"/>
  <c r="D54" i="7"/>
  <c r="E54" i="7"/>
  <c r="F54" i="7"/>
  <c r="G54" i="7"/>
  <c r="C54" i="7"/>
  <c r="C53" i="7" l="1"/>
  <c r="E66" i="7"/>
  <c r="F66" i="7"/>
  <c r="G66" i="7"/>
  <c r="D66" i="7"/>
  <c r="E65" i="7"/>
  <c r="F65" i="7"/>
  <c r="G65" i="7"/>
  <c r="D65" i="7"/>
  <c r="H33" i="7"/>
  <c r="I33" i="7" s="1"/>
  <c r="J33" i="7" s="1"/>
  <c r="K33" i="7" s="1"/>
  <c r="L33" i="7" s="1"/>
  <c r="E64" i="7"/>
  <c r="F64" i="7"/>
  <c r="G64" i="7"/>
  <c r="D64" i="7"/>
  <c r="C40" i="6" l="1"/>
  <c r="D40" i="6"/>
  <c r="E40" i="6"/>
  <c r="F40" i="6"/>
  <c r="B40" i="6"/>
  <c r="F18" i="10" l="1"/>
  <c r="E18" i="10"/>
  <c r="D18" i="10"/>
  <c r="C18" i="10"/>
  <c r="G20" i="10"/>
  <c r="F20" i="10"/>
  <c r="E20" i="10"/>
  <c r="D20" i="10"/>
  <c r="F19" i="10"/>
  <c r="E19" i="10"/>
  <c r="D19" i="10"/>
  <c r="F27" i="10"/>
  <c r="E27" i="10"/>
  <c r="D27" i="10"/>
  <c r="C27" i="10"/>
  <c r="B26" i="10"/>
  <c r="C20" i="10"/>
  <c r="C19" i="10"/>
  <c r="B16" i="10"/>
  <c r="F15" i="10"/>
  <c r="F14" i="10"/>
  <c r="F13" i="10"/>
  <c r="F12" i="10"/>
  <c r="F7" i="15" s="1"/>
  <c r="E15" i="10"/>
  <c r="E14" i="10"/>
  <c r="E13" i="10"/>
  <c r="E12" i="10"/>
  <c r="D12" i="10"/>
  <c r="D15" i="10"/>
  <c r="D14" i="10"/>
  <c r="D13" i="10"/>
  <c r="C15" i="10"/>
  <c r="C14" i="10"/>
  <c r="C13" i="10"/>
  <c r="C12" i="10"/>
  <c r="F8" i="10"/>
  <c r="E8" i="10"/>
  <c r="D8" i="10"/>
  <c r="C8" i="10"/>
  <c r="B8" i="10"/>
  <c r="F7" i="10"/>
  <c r="E7" i="10"/>
  <c r="D7" i="10"/>
  <c r="C7" i="10"/>
  <c r="B7" i="10"/>
  <c r="F6" i="10"/>
  <c r="E6" i="10"/>
  <c r="D6" i="10"/>
  <c r="C6" i="10"/>
  <c r="B6" i="10"/>
  <c r="C25" i="10" l="1"/>
  <c r="B28" i="10"/>
  <c r="D16" i="10"/>
  <c r="F23" i="10"/>
  <c r="D23" i="10"/>
  <c r="F16" i="10"/>
  <c r="C23" i="10"/>
  <c r="E23" i="10"/>
  <c r="C16" i="10"/>
  <c r="E16" i="10"/>
  <c r="F9" i="10" l="1"/>
  <c r="E9" i="10"/>
  <c r="D9" i="10"/>
  <c r="C9" i="10"/>
  <c r="B9" i="10"/>
  <c r="F5" i="10"/>
  <c r="E5" i="10"/>
  <c r="D5" i="10"/>
  <c r="C5" i="10"/>
  <c r="B5" i="10"/>
  <c r="C18" i="7" l="1"/>
  <c r="D18" i="7"/>
  <c r="E18" i="7"/>
  <c r="G30" i="7"/>
  <c r="F30" i="7"/>
  <c r="E30" i="7"/>
  <c r="D30" i="7"/>
  <c r="C30" i="7"/>
  <c r="G26" i="7"/>
  <c r="F26" i="7"/>
  <c r="E26" i="7"/>
  <c r="D26" i="7"/>
  <c r="C26" i="7"/>
  <c r="G11" i="7"/>
  <c r="F11" i="7"/>
  <c r="E11" i="7"/>
  <c r="D11" i="7"/>
  <c r="C11" i="7"/>
  <c r="G18" i="7"/>
  <c r="F18" i="7"/>
  <c r="F11" i="6"/>
  <c r="E11" i="6"/>
  <c r="D11" i="6"/>
  <c r="C11" i="6"/>
  <c r="B11" i="6"/>
  <c r="F6" i="6"/>
  <c r="G49" i="7" s="1"/>
  <c r="E6" i="6"/>
  <c r="F49" i="7" s="1"/>
  <c r="D6" i="6"/>
  <c r="E49" i="7" s="1"/>
  <c r="C6" i="6"/>
  <c r="D49" i="7" s="1"/>
  <c r="B6" i="6"/>
  <c r="C49" i="7" s="1"/>
  <c r="D31" i="7" l="1"/>
  <c r="D62" i="7"/>
  <c r="D61" i="7"/>
  <c r="D56" i="7"/>
  <c r="D57" i="7"/>
  <c r="D58" i="7"/>
  <c r="E31" i="7"/>
  <c r="F31" i="7"/>
  <c r="C31" i="7"/>
  <c r="G31" i="7"/>
  <c r="E48" i="7"/>
  <c r="E45" i="7"/>
  <c r="G45" i="7"/>
  <c r="G48" i="7"/>
  <c r="F48" i="7"/>
  <c r="F45" i="7"/>
  <c r="C48" i="7"/>
  <c r="C45" i="7"/>
  <c r="D48" i="7"/>
  <c r="D45" i="7"/>
  <c r="F41" i="6"/>
  <c r="F36" i="6"/>
  <c r="F34" i="6"/>
  <c r="F35" i="6"/>
  <c r="F37" i="6"/>
  <c r="E47" i="7"/>
  <c r="E46" i="7"/>
  <c r="D33" i="6"/>
  <c r="D32" i="6"/>
  <c r="D30" i="6"/>
  <c r="D4" i="10"/>
  <c r="D10" i="10" s="1"/>
  <c r="D24" i="10" s="1"/>
  <c r="C35" i="6"/>
  <c r="C36" i="6"/>
  <c r="C37" i="6"/>
  <c r="C34" i="6"/>
  <c r="C41" i="6"/>
  <c r="D46" i="7"/>
  <c r="D47" i="7"/>
  <c r="C30" i="6"/>
  <c r="C33" i="6"/>
  <c r="C32" i="6"/>
  <c r="C4" i="10"/>
  <c r="C10" i="10" s="1"/>
  <c r="C24" i="10" s="1"/>
  <c r="C26" i="10" s="1"/>
  <c r="D25" i="10" s="1"/>
  <c r="F47" i="7"/>
  <c r="F46" i="7"/>
  <c r="E32" i="6"/>
  <c r="E33" i="6"/>
  <c r="E30" i="6"/>
  <c r="E4" i="10"/>
  <c r="E10" i="10" s="1"/>
  <c r="E24" i="10" s="1"/>
  <c r="D35" i="6"/>
  <c r="D36" i="6"/>
  <c r="D37" i="6"/>
  <c r="D34" i="6"/>
  <c r="D41" i="6"/>
  <c r="B37" i="6"/>
  <c r="B34" i="6"/>
  <c r="B35" i="6"/>
  <c r="B41" i="6"/>
  <c r="B36" i="6"/>
  <c r="C46" i="7"/>
  <c r="C47" i="7"/>
  <c r="B32" i="6"/>
  <c r="B33" i="6"/>
  <c r="B4" i="10"/>
  <c r="B10" i="10" s="1"/>
  <c r="B24" i="10" s="1"/>
  <c r="F12" i="6"/>
  <c r="F15" i="6" s="1"/>
  <c r="F17" i="6" s="1"/>
  <c r="F44" i="6" s="1"/>
  <c r="H19" i="7"/>
  <c r="G46" i="7"/>
  <c r="G47" i="7"/>
  <c r="G6" i="6"/>
  <c r="H13" i="7" s="1"/>
  <c r="F32" i="6"/>
  <c r="F30" i="6"/>
  <c r="F33" i="6"/>
  <c r="F4" i="10"/>
  <c r="F10" i="10" s="1"/>
  <c r="F24" i="10" s="1"/>
  <c r="E41" i="6"/>
  <c r="E35" i="6"/>
  <c r="E36" i="6"/>
  <c r="E37" i="6"/>
  <c r="E34" i="6"/>
  <c r="E19" i="7"/>
  <c r="D12" i="6"/>
  <c r="D15" i="6" s="1"/>
  <c r="D17" i="6" s="1"/>
  <c r="D44" i="6" s="1"/>
  <c r="B12" i="6"/>
  <c r="B15" i="6" s="1"/>
  <c r="B17" i="6" s="1"/>
  <c r="B44" i="6" s="1"/>
  <c r="C19" i="7"/>
  <c r="D19" i="7"/>
  <c r="E12" i="6"/>
  <c r="E15" i="6" s="1"/>
  <c r="E17" i="6" s="1"/>
  <c r="E44" i="6" s="1"/>
  <c r="F19" i="7"/>
  <c r="G19" i="7"/>
  <c r="C12" i="6"/>
  <c r="C15" i="6" s="1"/>
  <c r="C17" i="6" s="1"/>
  <c r="C44" i="6" s="1"/>
  <c r="V4" i="6" l="1"/>
  <c r="V3" i="6"/>
  <c r="G6" i="15" s="1"/>
  <c r="G7" i="15"/>
  <c r="F61" i="7"/>
  <c r="F56" i="7"/>
  <c r="F57" i="7"/>
  <c r="F58" i="7"/>
  <c r="F53" i="7"/>
  <c r="F62" i="7"/>
  <c r="E53" i="7"/>
  <c r="E56" i="7"/>
  <c r="E58" i="7"/>
  <c r="E62" i="7"/>
  <c r="E61" i="7"/>
  <c r="E57" i="7"/>
  <c r="F59" i="7"/>
  <c r="F60" i="7"/>
  <c r="D60" i="7"/>
  <c r="D59" i="7"/>
  <c r="E60" i="7"/>
  <c r="E59" i="7"/>
  <c r="G61" i="7"/>
  <c r="G56" i="7"/>
  <c r="G57" i="7"/>
  <c r="G58" i="7"/>
  <c r="G62" i="7"/>
  <c r="G53" i="7"/>
  <c r="D53" i="7"/>
  <c r="G60" i="7"/>
  <c r="G59" i="7"/>
  <c r="C60" i="7"/>
  <c r="C59" i="7"/>
  <c r="H27" i="7"/>
  <c r="B8" i="22" s="1"/>
  <c r="H25" i="7"/>
  <c r="H31" i="7"/>
  <c r="C62" i="7"/>
  <c r="C57" i="7"/>
  <c r="C58" i="7"/>
  <c r="C56" i="7"/>
  <c r="C61" i="7"/>
  <c r="G52" i="7"/>
  <c r="G51" i="7"/>
  <c r="G50" i="7"/>
  <c r="C50" i="7"/>
  <c r="C52" i="7"/>
  <c r="C51" i="7"/>
  <c r="H17" i="7"/>
  <c r="H15" i="7"/>
  <c r="H14" i="7"/>
  <c r="D52" i="7"/>
  <c r="D51" i="7"/>
  <c r="D50" i="7"/>
  <c r="E50" i="7"/>
  <c r="E52" i="7"/>
  <c r="E51" i="7"/>
  <c r="F52" i="7"/>
  <c r="F50" i="7"/>
  <c r="F51" i="7"/>
  <c r="G42" i="7"/>
  <c r="F43" i="7"/>
  <c r="D44" i="7"/>
  <c r="E44" i="7"/>
  <c r="C44" i="7"/>
  <c r="E42" i="7"/>
  <c r="E43" i="7"/>
  <c r="C42" i="7"/>
  <c r="C43" i="7"/>
  <c r="C28" i="10"/>
  <c r="D43" i="7"/>
  <c r="D42" i="7"/>
  <c r="G33" i="6"/>
  <c r="G5" i="6" s="1"/>
  <c r="B19" i="6"/>
  <c r="B46" i="6" s="1"/>
  <c r="B42" i="6"/>
  <c r="H18" i="7"/>
  <c r="H11" i="7"/>
  <c r="G10" i="15" s="1"/>
  <c r="G32" i="6"/>
  <c r="D26" i="10"/>
  <c r="C19" i="6"/>
  <c r="C42" i="6"/>
  <c r="D19" i="6"/>
  <c r="D46" i="6" s="1"/>
  <c r="D42" i="6"/>
  <c r="E19" i="6"/>
  <c r="E42" i="6"/>
  <c r="H8" i="7"/>
  <c r="I19" i="7"/>
  <c r="I38" i="7" s="1"/>
  <c r="G11" i="6"/>
  <c r="H6" i="6"/>
  <c r="I13" i="7" s="1"/>
  <c r="G4" i="6"/>
  <c r="G4" i="10"/>
  <c r="F19" i="6"/>
  <c r="F46" i="6" s="1"/>
  <c r="F42" i="6"/>
  <c r="F42" i="7"/>
  <c r="F44" i="7"/>
  <c r="G43" i="7"/>
  <c r="G44" i="7"/>
  <c r="D22" i="6"/>
  <c r="B22" i="6"/>
  <c r="B23" i="6" s="1"/>
  <c r="I17" i="24" l="1"/>
  <c r="J17" i="24"/>
  <c r="H12" i="10"/>
  <c r="H7" i="15" s="1"/>
  <c r="W4" i="6"/>
  <c r="W3" i="6"/>
  <c r="H6" i="15" s="1"/>
  <c r="E22" i="6"/>
  <c r="E46" i="6"/>
  <c r="C22" i="6"/>
  <c r="C46" i="6"/>
  <c r="B26" i="6"/>
  <c r="B45" i="6"/>
  <c r="H26" i="7"/>
  <c r="H30" i="7"/>
  <c r="H16" i="7"/>
  <c r="G13" i="6"/>
  <c r="G9" i="10" s="1"/>
  <c r="I27" i="7"/>
  <c r="I25" i="7"/>
  <c r="I31" i="7"/>
  <c r="G18" i="10"/>
  <c r="H23" i="7"/>
  <c r="H28" i="7"/>
  <c r="H22" i="7"/>
  <c r="H24" i="7"/>
  <c r="G15" i="10"/>
  <c r="G13" i="10"/>
  <c r="I17" i="7"/>
  <c r="I15" i="7"/>
  <c r="H13" i="10" s="1"/>
  <c r="I14" i="7"/>
  <c r="H14" i="10" s="1"/>
  <c r="G14" i="10"/>
  <c r="D28" i="10"/>
  <c r="E25" i="10"/>
  <c r="E26" i="10" s="1"/>
  <c r="F22" i="6"/>
  <c r="J19" i="7"/>
  <c r="J38" i="7" s="1"/>
  <c r="I8" i="7"/>
  <c r="I6" i="6"/>
  <c r="J13" i="7" s="1"/>
  <c r="H11" i="6"/>
  <c r="H12" i="6" s="1"/>
  <c r="H4" i="6"/>
  <c r="H5" i="6"/>
  <c r="H4" i="10"/>
  <c r="I18" i="7"/>
  <c r="I11" i="7"/>
  <c r="H10" i="15" s="1"/>
  <c r="G12" i="6"/>
  <c r="G14" i="6"/>
  <c r="G5" i="10" s="1"/>
  <c r="G8" i="6"/>
  <c r="G9" i="6"/>
  <c r="G6" i="10" s="1"/>
  <c r="H10" i="7"/>
  <c r="H7" i="7"/>
  <c r="C34" i="7"/>
  <c r="C36" i="7" s="1"/>
  <c r="C38" i="7" s="1"/>
  <c r="C63" i="7" s="1"/>
  <c r="C21" i="6"/>
  <c r="C23" i="6" s="1"/>
  <c r="K17" i="24" l="1"/>
  <c r="I12" i="10"/>
  <c r="I7" i="15" s="1"/>
  <c r="X3" i="6"/>
  <c r="I6" i="15" s="1"/>
  <c r="X4" i="6"/>
  <c r="G11" i="15"/>
  <c r="G9" i="15" s="1"/>
  <c r="G8" i="15" s="1"/>
  <c r="C26" i="6"/>
  <c r="C45" i="6"/>
  <c r="I26" i="7"/>
  <c r="I30" i="7"/>
  <c r="H29" i="7"/>
  <c r="I16" i="7"/>
  <c r="H13" i="6"/>
  <c r="H9" i="10" s="1"/>
  <c r="J27" i="7"/>
  <c r="J25" i="7"/>
  <c r="J31" i="7"/>
  <c r="C39" i="7"/>
  <c r="C3" i="7" s="1"/>
  <c r="I28" i="7"/>
  <c r="I22" i="7"/>
  <c r="I23" i="7"/>
  <c r="I24" i="7"/>
  <c r="H18" i="10"/>
  <c r="G16" i="10"/>
  <c r="J14" i="7"/>
  <c r="J17" i="7"/>
  <c r="I15" i="10" s="1"/>
  <c r="J15" i="7"/>
  <c r="H15" i="10"/>
  <c r="H16" i="10" s="1"/>
  <c r="G15" i="6"/>
  <c r="G16" i="6" s="1"/>
  <c r="J8" i="7"/>
  <c r="K19" i="7"/>
  <c r="K38" i="7" s="1"/>
  <c r="I11" i="6"/>
  <c r="J6" i="6"/>
  <c r="K13" i="7" s="1"/>
  <c r="I4" i="6"/>
  <c r="I5" i="6"/>
  <c r="I4" i="10"/>
  <c r="I7" i="7"/>
  <c r="I10" i="7"/>
  <c r="F25" i="10"/>
  <c r="F26" i="10" s="1"/>
  <c r="E28" i="10"/>
  <c r="H8" i="6"/>
  <c r="H14" i="6"/>
  <c r="H5" i="10" s="1"/>
  <c r="H9" i="6"/>
  <c r="H6" i="10" s="1"/>
  <c r="J11" i="7"/>
  <c r="I10" i="15" s="1"/>
  <c r="J18" i="7"/>
  <c r="D34" i="7"/>
  <c r="D36" i="7" s="1"/>
  <c r="D38" i="7" s="1"/>
  <c r="D63" i="7" s="1"/>
  <c r="D21" i="6"/>
  <c r="D23" i="6" s="1"/>
  <c r="J12" i="10" l="1"/>
  <c r="J7" i="15" s="1"/>
  <c r="Y4" i="6"/>
  <c r="Y3" i="6"/>
  <c r="J6" i="15" s="1"/>
  <c r="H11" i="15"/>
  <c r="H9" i="15" s="1"/>
  <c r="H8" i="15" s="1"/>
  <c r="I29" i="7"/>
  <c r="H19" i="10" s="1"/>
  <c r="D26" i="6"/>
  <c r="D45" i="6"/>
  <c r="J30" i="7"/>
  <c r="J26" i="7"/>
  <c r="J16" i="7"/>
  <c r="I13" i="6"/>
  <c r="I9" i="10" s="1"/>
  <c r="K25" i="7"/>
  <c r="K31" i="7"/>
  <c r="K27" i="7"/>
  <c r="J23" i="7"/>
  <c r="J28" i="7"/>
  <c r="J22" i="7"/>
  <c r="J24" i="7"/>
  <c r="D39" i="7"/>
  <c r="D3" i="7" s="1"/>
  <c r="I18" i="10"/>
  <c r="K14" i="7"/>
  <c r="J14" i="10" s="1"/>
  <c r="K17" i="7"/>
  <c r="K15" i="7"/>
  <c r="J13" i="10" s="1"/>
  <c r="I13" i="10"/>
  <c r="I14" i="10"/>
  <c r="G8" i="10"/>
  <c r="G17" i="6"/>
  <c r="G5" i="15" s="1"/>
  <c r="G12" i="15" s="1"/>
  <c r="G14" i="15" s="1"/>
  <c r="J10" i="7"/>
  <c r="J7" i="7"/>
  <c r="K6" i="6"/>
  <c r="L13" i="7" s="1"/>
  <c r="L19" i="7"/>
  <c r="L38" i="7" s="1"/>
  <c r="K8" i="7"/>
  <c r="J11" i="6"/>
  <c r="J5" i="6"/>
  <c r="J4" i="6"/>
  <c r="J4" i="10"/>
  <c r="F28" i="10"/>
  <c r="G25" i="10"/>
  <c r="I12" i="6"/>
  <c r="I14" i="6"/>
  <c r="I5" i="10" s="1"/>
  <c r="I9" i="6"/>
  <c r="I6" i="10" s="1"/>
  <c r="I8" i="6"/>
  <c r="H15" i="6"/>
  <c r="K18" i="7"/>
  <c r="K11" i="7"/>
  <c r="J10" i="15" s="1"/>
  <c r="E34" i="7"/>
  <c r="E36" i="7" s="1"/>
  <c r="E38" i="7" s="1"/>
  <c r="E63" i="7" s="1"/>
  <c r="E21" i="6"/>
  <c r="E23" i="6" s="1"/>
  <c r="G15" i="15" l="1"/>
  <c r="R68" i="13"/>
  <c r="R69" i="13" s="1"/>
  <c r="L17" i="24"/>
  <c r="K12" i="10"/>
  <c r="K7" i="15" s="1"/>
  <c r="Z3" i="6"/>
  <c r="K6" i="15" s="1"/>
  <c r="Z4" i="6"/>
  <c r="I11" i="15"/>
  <c r="I9" i="15" s="1"/>
  <c r="I8" i="15" s="1"/>
  <c r="G18" i="6"/>
  <c r="K16" i="7"/>
  <c r="E26" i="6"/>
  <c r="E45" i="6"/>
  <c r="K30" i="7"/>
  <c r="K26" i="7"/>
  <c r="J29" i="7"/>
  <c r="I19" i="10" s="1"/>
  <c r="J18" i="10"/>
  <c r="L25" i="7"/>
  <c r="L31" i="7"/>
  <c r="L27" i="7"/>
  <c r="K22" i="7"/>
  <c r="K23" i="7"/>
  <c r="K24" i="7"/>
  <c r="K28" i="7"/>
  <c r="E39" i="7"/>
  <c r="E3" i="7" s="1"/>
  <c r="J13" i="6"/>
  <c r="J9" i="10" s="1"/>
  <c r="L15" i="7"/>
  <c r="K13" i="10" s="1"/>
  <c r="L14" i="7"/>
  <c r="K14" i="10" s="1"/>
  <c r="L17" i="7"/>
  <c r="K15" i="10" s="1"/>
  <c r="I16" i="10"/>
  <c r="J15" i="10"/>
  <c r="J16" i="10" s="1"/>
  <c r="I15" i="6"/>
  <c r="I16" i="6" s="1"/>
  <c r="I8" i="10" s="1"/>
  <c r="J8" i="6"/>
  <c r="J14" i="6"/>
  <c r="J5" i="10" s="1"/>
  <c r="J9" i="6"/>
  <c r="J6" i="10" s="1"/>
  <c r="L8" i="7"/>
  <c r="M17" i="24" s="1"/>
  <c r="K11" i="6"/>
  <c r="K5" i="6"/>
  <c r="K4" i="6"/>
  <c r="K4" i="10"/>
  <c r="K7" i="7"/>
  <c r="K10" i="7"/>
  <c r="J12" i="6"/>
  <c r="H16" i="6"/>
  <c r="H8" i="10" s="1"/>
  <c r="L18" i="7"/>
  <c r="L11" i="7"/>
  <c r="K10" i="15" s="1"/>
  <c r="F34" i="7"/>
  <c r="F36" i="7" s="1"/>
  <c r="F38" i="7" s="1"/>
  <c r="F63" i="7" s="1"/>
  <c r="F21" i="6"/>
  <c r="F23" i="6" s="1"/>
  <c r="J11" i="15" l="1"/>
  <c r="J9" i="15" s="1"/>
  <c r="J8" i="15" s="1"/>
  <c r="F26" i="6"/>
  <c r="G34" i="7" s="1"/>
  <c r="F45" i="6"/>
  <c r="J15" i="6"/>
  <c r="J16" i="6" s="1"/>
  <c r="J8" i="10" s="1"/>
  <c r="L26" i="7"/>
  <c r="L30" i="7"/>
  <c r="K29" i="7"/>
  <c r="J19" i="10" s="1"/>
  <c r="L16" i="7"/>
  <c r="K13" i="6"/>
  <c r="K9" i="10" s="1"/>
  <c r="F39" i="7"/>
  <c r="F3" i="7" s="1"/>
  <c r="K18" i="10"/>
  <c r="L28" i="7"/>
  <c r="L22" i="7"/>
  <c r="L23" i="7"/>
  <c r="L24" i="7"/>
  <c r="K16" i="10"/>
  <c r="H17" i="6"/>
  <c r="H5" i="15" s="1"/>
  <c r="H12" i="15" s="1"/>
  <c r="H14" i="15" s="1"/>
  <c r="H15" i="15" s="1"/>
  <c r="I17" i="6"/>
  <c r="I5" i="15" s="1"/>
  <c r="I12" i="15" s="1"/>
  <c r="I14" i="15" s="1"/>
  <c r="I15" i="15" s="1"/>
  <c r="L7" i="7"/>
  <c r="L10" i="7"/>
  <c r="K12" i="6"/>
  <c r="K14" i="6"/>
  <c r="K5" i="10" s="1"/>
  <c r="K8" i="6"/>
  <c r="K9" i="6"/>
  <c r="K6" i="10" s="1"/>
  <c r="G21" i="6"/>
  <c r="K11" i="15" l="1"/>
  <c r="K9" i="15" s="1"/>
  <c r="K8" i="15" s="1"/>
  <c r="G36" i="7"/>
  <c r="B18" i="15" s="1"/>
  <c r="B7" i="22"/>
  <c r="G38" i="7"/>
  <c r="G63" i="7" s="1"/>
  <c r="I18" i="6"/>
  <c r="H18" i="6"/>
  <c r="L29" i="7"/>
  <c r="K19" i="10" s="1"/>
  <c r="J17" i="6"/>
  <c r="J5" i="15" s="1"/>
  <c r="J12" i="15" s="1"/>
  <c r="J14" i="15" s="1"/>
  <c r="J15" i="15" s="1"/>
  <c r="K15" i="6"/>
  <c r="K16" i="6" s="1"/>
  <c r="K8" i="10" s="1"/>
  <c r="G39" i="7" l="1"/>
  <c r="G3" i="7" s="1"/>
  <c r="J18" i="6"/>
  <c r="K17" i="6"/>
  <c r="K5" i="15" s="1"/>
  <c r="K12" i="15" s="1"/>
  <c r="K13" i="15" s="1"/>
  <c r="K18" i="6" l="1"/>
  <c r="H39" i="7"/>
  <c r="G10" i="6"/>
  <c r="G7" i="10" s="1"/>
  <c r="G10" i="10" s="1"/>
  <c r="H10" i="6"/>
  <c r="H7" i="10" s="1"/>
  <c r="H10" i="10" s="1"/>
  <c r="I10" i="6"/>
  <c r="I7" i="10" s="1"/>
  <c r="I10" i="10" s="1"/>
  <c r="J10" i="6"/>
  <c r="J7" i="10" s="1"/>
  <c r="J10" i="10" s="1"/>
  <c r="K10" i="6"/>
  <c r="K7" i="10" s="1"/>
  <c r="K10" i="10" s="1"/>
  <c r="H3" i="7" l="1"/>
  <c r="I39" i="7"/>
  <c r="I3" i="7" l="1"/>
  <c r="J39" i="7"/>
  <c r="J3" i="7" l="1"/>
  <c r="K39" i="7"/>
  <c r="K3" i="7" l="1"/>
  <c r="L39" i="7"/>
  <c r="L3" i="7" l="1"/>
  <c r="G19" i="6"/>
  <c r="G25" i="6" s="1"/>
  <c r="G21" i="10" s="1"/>
  <c r="G23" i="10" s="1"/>
  <c r="G24" i="10" s="1"/>
  <c r="G26" i="10" s="1"/>
  <c r="H6" i="7" l="1"/>
  <c r="I6" i="24" s="1"/>
  <c r="H25" i="10"/>
  <c r="G22" i="6"/>
  <c r="G23" i="6" s="1"/>
  <c r="H19" i="6"/>
  <c r="H22" i="6" l="1"/>
  <c r="H25" i="6"/>
  <c r="H21" i="10" s="1"/>
  <c r="G27" i="10"/>
  <c r="G28" i="10" s="1"/>
  <c r="H9" i="7"/>
  <c r="I5" i="24" s="1"/>
  <c r="G24" i="6"/>
  <c r="H20" i="10" s="1"/>
  <c r="H23" i="10" s="1"/>
  <c r="H24" i="10" s="1"/>
  <c r="H26" i="10" s="1"/>
  <c r="I19" i="6"/>
  <c r="I25" i="6" s="1"/>
  <c r="I21" i="10" s="1"/>
  <c r="G26" i="6" l="1"/>
  <c r="H21" i="6" s="1"/>
  <c r="H23" i="6" s="1"/>
  <c r="H24" i="6" s="1"/>
  <c r="I20" i="10" s="1"/>
  <c r="I23" i="10" s="1"/>
  <c r="I24" i="10" s="1"/>
  <c r="I6" i="7"/>
  <c r="J6" i="24" s="1"/>
  <c r="I25" i="10"/>
  <c r="I22" i="6"/>
  <c r="J19" i="6"/>
  <c r="J22" i="6" l="1"/>
  <c r="J25" i="6"/>
  <c r="J21" i="10" s="1"/>
  <c r="H34" i="7"/>
  <c r="I26" i="10"/>
  <c r="J6" i="7" s="1"/>
  <c r="K6" i="24" s="1"/>
  <c r="H26" i="6"/>
  <c r="H27" i="10"/>
  <c r="H28" i="10" s="1"/>
  <c r="I9" i="7"/>
  <c r="J5" i="24" s="1"/>
  <c r="K19" i="6"/>
  <c r="K22" i="6" l="1"/>
  <c r="K25" i="6"/>
  <c r="K21" i="10" s="1"/>
  <c r="J25" i="10"/>
  <c r="I34" i="7"/>
  <c r="I21" i="6"/>
  <c r="I23" i="6" s="1"/>
  <c r="I24" i="6" s="1"/>
  <c r="J20" i="10" s="1"/>
  <c r="J23" i="10" s="1"/>
  <c r="J24" i="10" s="1"/>
  <c r="I27" i="10"/>
  <c r="I28" i="10" s="1"/>
  <c r="J9" i="7"/>
  <c r="K5" i="24" s="1"/>
  <c r="J26" i="10" l="1"/>
  <c r="K6" i="7" s="1"/>
  <c r="I26" i="6"/>
  <c r="J27" i="10" l="1"/>
  <c r="J28" i="10" s="1"/>
  <c r="L6" i="24"/>
  <c r="K25" i="10"/>
  <c r="K9" i="7"/>
  <c r="L5" i="24" s="1"/>
  <c r="J21" i="6"/>
  <c r="J23" i="6" s="1"/>
  <c r="J34" i="7"/>
  <c r="J24" i="6" l="1"/>
  <c r="K20" i="10" s="1"/>
  <c r="K23" i="10" s="1"/>
  <c r="K24" i="10" s="1"/>
  <c r="K26" i="10" s="1"/>
  <c r="L6" i="7" s="1"/>
  <c r="M6" i="24" s="1"/>
  <c r="L9" i="7" l="1"/>
  <c r="M5" i="24" s="1"/>
  <c r="K27" i="10"/>
  <c r="K28" i="10" s="1"/>
  <c r="J26" i="6"/>
  <c r="K21" i="6" l="1"/>
  <c r="K23" i="6" s="1"/>
  <c r="K34" i="7"/>
  <c r="K24" i="6" l="1"/>
  <c r="K26" i="6" s="1"/>
  <c r="L34" i="7" s="1"/>
  <c r="K14" i="15" l="1"/>
  <c r="K15" i="15" l="1"/>
  <c r="F16" i="15" s="1"/>
  <c r="V68" i="13"/>
  <c r="V69" i="13" s="1"/>
  <c r="W69" i="13" s="1"/>
  <c r="W71" i="13" s="1"/>
  <c r="W73" i="13" l="1"/>
  <c r="F18" i="15"/>
  <c r="F20" i="15" s="1"/>
  <c r="H36" i="13" l="1"/>
  <c r="H49" i="13" s="1"/>
  <c r="E36" i="22"/>
  <c r="T4" i="15"/>
  <c r="W4" i="15"/>
  <c r="M18" i="15"/>
  <c r="Q4" i="15"/>
  <c r="N4" i="15"/>
  <c r="Y18" i="15"/>
  <c r="H35" i="7" l="1"/>
  <c r="I35" i="7"/>
  <c r="J35" i="7"/>
  <c r="K35" i="7"/>
  <c r="L35" i="7"/>
  <c r="H36" i="7"/>
  <c r="I36" i="7"/>
  <c r="J36" i="7"/>
  <c r="K36" i="7"/>
  <c r="L36" i="7"/>
  <c r="H37" i="7"/>
  <c r="I37" i="7"/>
  <c r="J37" i="7"/>
  <c r="K37" i="7"/>
  <c r="L37" i="7"/>
  <c r="E13" i="22"/>
  <c r="E14" i="22"/>
  <c r="E15" i="22"/>
  <c r="E16" i="22"/>
  <c r="E17" i="22"/>
  <c r="E18" i="22"/>
  <c r="E19" i="22"/>
  <c r="E20" i="22"/>
  <c r="E21" i="22"/>
  <c r="E22" i="22"/>
  <c r="I9" i="24"/>
  <c r="J9" i="24"/>
  <c r="K9" i="24"/>
  <c r="L9" i="24"/>
  <c r="M9" i="24"/>
  <c r="I15" i="24"/>
  <c r="J15" i="24"/>
  <c r="K15" i="24"/>
  <c r="L15" i="24"/>
  <c r="M15"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<sst xmlns="http://schemas.openxmlformats.org/spreadsheetml/2006/main" count="489" uniqueCount="429">
  <si>
    <t>Net Income</t>
  </si>
  <si>
    <t>Other</t>
  </si>
  <si>
    <t>Non-Current Assets</t>
  </si>
  <si>
    <t>Total Assets</t>
  </si>
  <si>
    <t>Enterprise Value</t>
  </si>
  <si>
    <t>Price</t>
  </si>
  <si>
    <t>Product Sales</t>
  </si>
  <si>
    <t>Royalty, contracts and other revenues</t>
  </si>
  <si>
    <t>Revenue</t>
  </si>
  <si>
    <t>Total Revenues</t>
  </si>
  <si>
    <t>Costs and Expenses</t>
  </si>
  <si>
    <t>Research and development expenses</t>
  </si>
  <si>
    <t>Cost of good sold</t>
  </si>
  <si>
    <t>Selling, general and administrative expenses</t>
  </si>
  <si>
    <t>Total costs and expenses</t>
  </si>
  <si>
    <t>Income from operations</t>
  </si>
  <si>
    <t>Interest expense</t>
  </si>
  <si>
    <t>Income before provision for income taxes</t>
  </si>
  <si>
    <t>Provision for income taxes</t>
  </si>
  <si>
    <t>Net (loss) income attributable to noncontrolling interest</t>
  </si>
  <si>
    <t>Net income attributable to Gilead</t>
  </si>
  <si>
    <t>Assets</t>
  </si>
  <si>
    <t>Current Assets:</t>
  </si>
  <si>
    <t>Cash and cash equivalents</t>
  </si>
  <si>
    <t>Short term marketable securities</t>
  </si>
  <si>
    <t>Accounts receivable, net of allowance</t>
  </si>
  <si>
    <t>Inventories</t>
  </si>
  <si>
    <t>Prepaid and other current assets</t>
  </si>
  <si>
    <t>Total current assets</t>
  </si>
  <si>
    <t>Property, plant and equipment, net</t>
  </si>
  <si>
    <t>Long-terms marketable securities</t>
  </si>
  <si>
    <t>Intangible assets, net</t>
  </si>
  <si>
    <t>Goodwill</t>
  </si>
  <si>
    <t>Other long-term assets</t>
  </si>
  <si>
    <t>Total non-current assets</t>
  </si>
  <si>
    <t>Current Liabilities:</t>
  </si>
  <si>
    <t>Accrued government and other rebates</t>
  </si>
  <si>
    <t>Other accrued liabilities</t>
  </si>
  <si>
    <t>Current portion of long term debt</t>
  </si>
  <si>
    <t>Total current liabilities</t>
  </si>
  <si>
    <t>Long-term debt</t>
  </si>
  <si>
    <t>Other long term obligations</t>
  </si>
  <si>
    <t>Total non-current liabilities</t>
  </si>
  <si>
    <t>Shareholders' Equity:</t>
  </si>
  <si>
    <t>Common stock and additional paid-in capital</t>
  </si>
  <si>
    <t>Dividend Paid</t>
  </si>
  <si>
    <t>Retained earnings</t>
  </si>
  <si>
    <t>Total Gilead's stockholders' equity</t>
  </si>
  <si>
    <t>Noncontrolling interest</t>
  </si>
  <si>
    <t>Total liabilities and shareholder's equity</t>
  </si>
  <si>
    <t>Long term marketable securities</t>
  </si>
  <si>
    <t>Beginning Retained Earnings</t>
  </si>
  <si>
    <t>Net income (loss) for the year</t>
  </si>
  <si>
    <t>Repurchase of common stock</t>
  </si>
  <si>
    <t>Closing Retained Earnings</t>
  </si>
  <si>
    <t>CF from Operating Activities</t>
  </si>
  <si>
    <t>Reciepts from Customers</t>
  </si>
  <si>
    <t>Interest Received</t>
  </si>
  <si>
    <t>Payments to Suppliers and Employees</t>
  </si>
  <si>
    <t xml:space="preserve">Taxes Paid </t>
  </si>
  <si>
    <t>Interest Paid</t>
  </si>
  <si>
    <t>Net cash inflow from operating activities</t>
  </si>
  <si>
    <t>CFs from Investing Activites</t>
  </si>
  <si>
    <t>Change in PPE</t>
  </si>
  <si>
    <t>Change in Intangibles</t>
  </si>
  <si>
    <t>CF's from Financing Activities</t>
  </si>
  <si>
    <t>Change in Share Equity</t>
  </si>
  <si>
    <t>Dividends Paid</t>
  </si>
  <si>
    <t>Net Cash used in Financing Activities</t>
  </si>
  <si>
    <t>Net (decrease)/Increase in cash held</t>
  </si>
  <si>
    <t>Cash at Beginning</t>
  </si>
  <si>
    <t>Ending Cash</t>
  </si>
  <si>
    <t>Long term assets</t>
  </si>
  <si>
    <t>Change in Long term debt</t>
  </si>
  <si>
    <t>Changes in long term obligations</t>
  </si>
  <si>
    <t>Research and development</t>
  </si>
  <si>
    <t>2014 Figures for Beginning period Cash flow</t>
  </si>
  <si>
    <t>Net cash inflow from investing activities</t>
  </si>
  <si>
    <t>Based on Growth Rate</t>
  </si>
  <si>
    <t>Based on common-size analysis</t>
  </si>
  <si>
    <t>Cost and Expenses (Based on common size analysis)</t>
  </si>
  <si>
    <t>Other income (expense)</t>
  </si>
  <si>
    <t>Net Income / Revenue</t>
  </si>
  <si>
    <t>Income Tax</t>
  </si>
  <si>
    <t>Income attributable to noncontrolling interest</t>
  </si>
  <si>
    <t>Total retained earnings available</t>
  </si>
  <si>
    <t>ASSUMPTIONS</t>
  </si>
  <si>
    <t>Total Assets/ Total Revenue</t>
  </si>
  <si>
    <t>Current Assets / Total Assets</t>
  </si>
  <si>
    <t>Total Liabilities / Total Assets</t>
  </si>
  <si>
    <t>Non-current Assets/TA</t>
  </si>
  <si>
    <t>Short term marketable securities / Total current assets</t>
  </si>
  <si>
    <t>Accounts receivable, net of allowance / Total Revenue</t>
  </si>
  <si>
    <t>Inventories / Total revenue</t>
  </si>
  <si>
    <t>Prepaid and other current assets / Total current assets</t>
  </si>
  <si>
    <t>Project 1: Forecasting and Company Valuation</t>
  </si>
  <si>
    <t>Historical Results</t>
  </si>
  <si>
    <t xml:space="preserve"> Forecast Period</t>
  </si>
  <si>
    <t>GILEAD SCIENCE INC.</t>
  </si>
  <si>
    <t>Balance Sheet Check</t>
  </si>
  <si>
    <t>Property, plant and equipment / Total Revenue</t>
  </si>
  <si>
    <t>Intangible assets, net / Total Assets</t>
  </si>
  <si>
    <t>Long-terms marketable securities / Total Assets</t>
  </si>
  <si>
    <t xml:space="preserve">Total Liabilities  </t>
  </si>
  <si>
    <t>Accrued government and other rebates / Total Liabilities</t>
  </si>
  <si>
    <t>Other accrued liabilities / Total Liabilities</t>
  </si>
  <si>
    <t>Current portion of long term debt / Total Assets</t>
  </si>
  <si>
    <t>Long-term debt / Total Assets</t>
  </si>
  <si>
    <t>Total shareholders' equity / Total Assets</t>
  </si>
  <si>
    <t>Total Current Liabilities / Total Liabilities</t>
  </si>
  <si>
    <t>Total Non-current Liabilities / Total Liabilities</t>
  </si>
  <si>
    <t>Repurchase of common shares / Total Retained Earnings</t>
  </si>
  <si>
    <t>Dividends Paid / Net Income</t>
  </si>
  <si>
    <t>Others</t>
  </si>
  <si>
    <t>Gilead Sciences, Inc. , incorporated in Delaware on June 22, 1987, is a research-based biopharmaceutical company that discovers, develops and commercializes innovative medicines in areas of unmet medical need. With each new discovery and investigational drug candidate, the company strives to transform and simplify care for people with life-threatening  illnesses around the world. The company has operations in more than 35 countries worldwide with 11,800 employees. Gilead’s primary areas of focus include viral diseases, inflammatory and fibrotic diseases and oncology. The company seeks to add to our existing portfolio of products through our internal discovery and clinical development programs, product acquisition, in-licensing and strategic collaborations.</t>
  </si>
  <si>
    <t>COVID 19 and GILEAD</t>
  </si>
  <si>
    <t>INCOME STATEMENT ($ 'in Millions')</t>
  </si>
  <si>
    <t>BALANCE SHEET ($ 'in Millions')</t>
  </si>
  <si>
    <t>CASH FLOW STATEMENT ($ 'in Millions')</t>
  </si>
  <si>
    <t>Date</t>
  </si>
  <si>
    <t>GILD Share Price</t>
  </si>
  <si>
    <t>US T-Bill Rate (Annualized)</t>
  </si>
  <si>
    <t>Excess Return on GILD (Ri)</t>
  </si>
  <si>
    <t>Excess Return on S&amp;P 500 (Rm)</t>
  </si>
  <si>
    <t>S&amp;P 500 Index</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</si>
  <si>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</si>
  <si>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</si>
  <si>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</si>
  <si>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</si>
  <si>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</si>
  <si>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</si>
  <si>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</si>
  <si>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</si>
  <si>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</si>
  <si>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</si>
  <si>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</si>
  <si>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</si>
  <si>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</si>
  <si>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</si>
  <si>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</si>
  <si>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</si>
  <si>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</si>
  <si>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</si>
  <si>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</si>
  <si>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</si>
  <si>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</si>
  <si>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</si>
  <si>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</si>
  <si>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</si>
  <si>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</si>
  <si>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Beta</t>
  </si>
  <si>
    <t>Regression Analysis to Calculate Beta</t>
  </si>
  <si>
    <t>WACC</t>
  </si>
  <si>
    <t>Weight of Debt</t>
  </si>
  <si>
    <t>Book value of Debt</t>
  </si>
  <si>
    <t>Weight of Equity</t>
  </si>
  <si>
    <t>Current share price</t>
  </si>
  <si>
    <t>After tax cost of debt</t>
  </si>
  <si>
    <t>Cost of Equity</t>
  </si>
  <si>
    <t>Risk free rate</t>
  </si>
  <si>
    <t>Return on Equity (ROE) - Net Income/ Equity</t>
  </si>
  <si>
    <t>Depreciation</t>
  </si>
  <si>
    <t>Capital Expenditure</t>
  </si>
  <si>
    <t>Change in Net working Capital</t>
  </si>
  <si>
    <t>Net Working Capital</t>
  </si>
  <si>
    <t>Current Assets</t>
  </si>
  <si>
    <t>FCF (Net Income + Dep - Cap Exp - Chan in NWC)</t>
  </si>
  <si>
    <t>Terminal Value</t>
  </si>
  <si>
    <t>Value of the Firm</t>
  </si>
  <si>
    <t>Market value of equity (in Millions)</t>
  </si>
  <si>
    <t>US Tax Rate for C Corporation</t>
  </si>
  <si>
    <t>Cost of Debt (from Disclosure Statement filed with SEC - Form 10-K)</t>
  </si>
  <si>
    <t>Market risk premium (US Average Market risk premium for the last 70 years from US Statistics data)</t>
  </si>
  <si>
    <t>Payout Ratio</t>
  </si>
  <si>
    <t>WACC Calculation</t>
  </si>
  <si>
    <t>Growth Rate (ROE * Retention Rate)</t>
  </si>
  <si>
    <t>F0</t>
  </si>
  <si>
    <t>F1</t>
  </si>
  <si>
    <t>F2</t>
  </si>
  <si>
    <t>F3</t>
  </si>
  <si>
    <t>F4</t>
  </si>
  <si>
    <t>F5</t>
  </si>
  <si>
    <t>Current Liabilities</t>
  </si>
  <si>
    <t>Total Free Cash Flow</t>
  </si>
  <si>
    <t>Discounted Cash Flow</t>
  </si>
  <si>
    <t>Number of Shares</t>
  </si>
  <si>
    <t>Value per Share</t>
  </si>
  <si>
    <t>Family Name</t>
  </si>
  <si>
    <t xml:space="preserve"> </t>
  </si>
  <si>
    <t>First Name</t>
  </si>
  <si>
    <t>Student ID</t>
  </si>
  <si>
    <t>Stream #</t>
  </si>
  <si>
    <t>Depreciation Schedule</t>
  </si>
  <si>
    <t>Less: Debt</t>
  </si>
  <si>
    <t>Value of the Firm for Equity Holders</t>
  </si>
  <si>
    <t>Growth Rate</t>
  </si>
  <si>
    <t>Valuation Based on Free Cash Flow to the Firm</t>
  </si>
  <si>
    <t>Advice to Potential Investor:</t>
  </si>
  <si>
    <t>Single Dimension</t>
  </si>
  <si>
    <t>Free Cash Flow</t>
  </si>
  <si>
    <t>Number of Shares (in Millions)</t>
  </si>
  <si>
    <t>Base Line</t>
  </si>
  <si>
    <t>+ 50%</t>
  </si>
  <si>
    <t>Two Dimensional Sensitivity Analysis</t>
  </si>
  <si>
    <t>Based on WACC and Growth Rate</t>
  </si>
  <si>
    <t>Base Case</t>
  </si>
  <si>
    <t>+50 %</t>
  </si>
  <si>
    <t>Scenarios</t>
  </si>
  <si>
    <t>No. of Shares</t>
  </si>
  <si>
    <t>Current share price of Gilead on 1st May, was US$ 79.95, however, share price according to our discounted cash flow model is, US$ 139.81, which implies that the share is undervalued. The current emergency improvement of Gild's product to treat COVID-19 in USA and Japan is assumed to have significant impact on the company's revenue generation and in winning investors' confidence in the company's growth and future prospects. Accordingly, potential investors are advised to buy Gilead's share, as it seems to be a good bargain option.</t>
  </si>
  <si>
    <t>Sales/Operating Revenue</t>
  </si>
  <si>
    <t>EBITDA</t>
  </si>
  <si>
    <t>EBIT</t>
  </si>
  <si>
    <t>Net Profit</t>
  </si>
  <si>
    <t>Book Value</t>
  </si>
  <si>
    <t>Int Bearing Debt</t>
  </si>
  <si>
    <t>Industry Average</t>
  </si>
  <si>
    <t>Cash</t>
  </si>
  <si>
    <t>Number Of Shares</t>
  </si>
  <si>
    <t>Market Cap</t>
  </si>
  <si>
    <t>EV/Sales</t>
  </si>
  <si>
    <t>EV/EBITDA</t>
  </si>
  <si>
    <t>EV/EBIT</t>
  </si>
  <si>
    <t>Valuation Based on Multiples</t>
  </si>
  <si>
    <t>Gilead (in Millions)</t>
  </si>
  <si>
    <t>Neurocrine Biosciences</t>
  </si>
  <si>
    <t>Regeneron Pharmaceuticals</t>
  </si>
  <si>
    <t>Vertex Pharmaceuticals</t>
  </si>
  <si>
    <t>EPS</t>
  </si>
  <si>
    <t>EV</t>
  </si>
  <si>
    <t>Gilead based on Multiples</t>
  </si>
  <si>
    <t>Gilead Value based on Industry Multiples</t>
  </si>
  <si>
    <t>Net Debt</t>
  </si>
  <si>
    <t>MV per share Gilead</t>
  </si>
  <si>
    <t>Gilead Share price based on DCF</t>
  </si>
  <si>
    <t>Conclusion:</t>
  </si>
  <si>
    <t>We conducted valuation of Gilead based upon DCF and industry multiples, using its peers data from Thomson Reuters Eikon. It can be observed that Gilead value based on EV/ Sales is very close to DCF model valuation. Overall, industry based value of Gilead is US$ 183. It also implies and confirms our valuation based on DCF that current share price is undervalued and there are positive indicators and excellent growth potential for this company in future. Accordingly, potential investors are advised to go long on this stock.</t>
  </si>
  <si>
    <t>Peers ($ in Millions)</t>
  </si>
  <si>
    <t>McKesson Corp</t>
  </si>
  <si>
    <t>AmerisourceBergen Corp</t>
  </si>
  <si>
    <t>Cardinal Health, Inc.</t>
  </si>
  <si>
    <t>Major Customer Wise Revenue ($ 'in Millions')</t>
  </si>
  <si>
    <t>Based on Growth</t>
  </si>
  <si>
    <t>Revenue Assumption:</t>
  </si>
  <si>
    <t>Gilead got exceptional approval from US Federal Drug Regulatory Authority (FDA) and Japanese authorities that it's product Remidisivir can be used to treat COVID-19. Company is also testing other drugs and some trials were successful, that's why its share price is soaring. Hence, it is assumed that during the year 2020, there will be 15% increase in revenue, however, during 2021, 2022, revenue will increase by 45%, because by that time company would have obtained required license/ patents worldwide. After 2022, it is assumed that revenue will be stabilized at 10%.</t>
  </si>
  <si>
    <t>To make these drugs, company needs to spend substantial amount on R&amp;D. Accordingly, it is assumed by R&amp;D will be constant at 42% during the forecasted period.</t>
  </si>
  <si>
    <t>Cost of good sold is assumed to increase at average of last five year, i.e. 33%.</t>
  </si>
  <si>
    <t>Keeping in view historical trend, it is assumed that plow back rate of company will be 6.76% and company will keep on distributing its earnings either in the form of share repurchase or dividend payout.</t>
  </si>
  <si>
    <t>Due to increase in sales revenue, net income assume to increase at 33.75%.</t>
  </si>
  <si>
    <t>During the last three years, under the new strategy, company is aiming to achieve its strategic initiatives by maintaining certain level of repurchase of shares and income distribution. It is assumed that the company will maintain an average rate of 10% for share repurchase in future.</t>
  </si>
  <si>
    <t>All these items are assumed to increase at historical rates, with minor fluctuations, where required, as mentioned in front of each item.</t>
  </si>
  <si>
    <t>According to audited financial statements, Accumulated other comprehensive income was not reflecting any pattern in the past due to unrealized gain/ loss on currency contract, hedging activities, unrealized holding period gain/ loss on available for sale securities. However, during 2020, these matters were sorted out to a great extent and it is assumed that the AOCI would increase at 7% in the future.</t>
  </si>
  <si>
    <t>Historical average of income attributable to  minority interest is -0.08%. However, it is assumed to stay at 0.30% in future.</t>
  </si>
  <si>
    <t>Income Statement</t>
  </si>
  <si>
    <t>Balance Sheet</t>
  </si>
  <si>
    <t>Cash Flow</t>
  </si>
  <si>
    <t xml:space="preserve">Input </t>
  </si>
  <si>
    <t>Output</t>
  </si>
  <si>
    <t>Financial Model and its Implications</t>
  </si>
  <si>
    <t>Forecasted value of the company ($ per share)</t>
  </si>
  <si>
    <t>$</t>
  </si>
  <si>
    <t>Interest rate</t>
  </si>
  <si>
    <t>Cost of debt</t>
  </si>
  <si>
    <t>Tax</t>
  </si>
  <si>
    <t>after tax cost of debt</t>
  </si>
  <si>
    <t>Cost of equity</t>
  </si>
  <si>
    <t>Risk free</t>
  </si>
  <si>
    <t>MRP</t>
  </si>
  <si>
    <t>No. of shares</t>
  </si>
  <si>
    <t>Value per share</t>
  </si>
  <si>
    <t>weight of debt</t>
  </si>
  <si>
    <t>weight of equity</t>
  </si>
  <si>
    <t>interest value</t>
  </si>
  <si>
    <t>NO. of share</t>
  </si>
  <si>
    <t>debt</t>
  </si>
  <si>
    <t>Tax rate</t>
  </si>
  <si>
    <t>Impact of change in interest rate and cost of equity on share price</t>
  </si>
  <si>
    <t>Advice to Investor:</t>
  </si>
  <si>
    <t>Current Market price ($ per share)</t>
  </si>
  <si>
    <t>(Choose current market price using this scroll bar and you will be provided with advice on buying / selling)</t>
  </si>
  <si>
    <t>Company Profile</t>
  </si>
  <si>
    <t>Investors' Section</t>
  </si>
  <si>
    <t>Financial Information</t>
  </si>
  <si>
    <t>Financial Decision-Making</t>
  </si>
  <si>
    <t>SWOT Analysis</t>
  </si>
  <si>
    <t>Global manufacturing and distribution network</t>
  </si>
  <si>
    <t>Gilead has well established manufacturing and distribution capabilities. The company has business operations in more than 35 countries in North America, Europe, South America, Asia, Australia, the Middle East and Africa. It operates manufacturing facilities in Cork and Dublin in Ireland; La Verne, Foster City, El Segundo, San Dimas and Oceanside in California; and Alberta in Canada. The company at its Foster City facility manufactures API for clinical trials. The company’s La Verne and San Dimas facility in California manufacture AmBisome, package and label the majority of its commercial products. The company uses its Oceanside facility in California for clinical manufacture and process development of its biologics candidates. Its El Segundo facility in California carries out the clinical and commercial manufacture and processing of Yescarta. Gilead uses its Cork facility to manufacture, package and label its antiviral products.</t>
  </si>
  <si>
    <t>Strong research and development capabilities strengthen competitiveness</t>
  </si>
  <si>
    <t>The company’s strong R&amp;D activities enabled Gilead to develop innovative products for the treatment of various life-threatening diseases. Its research activities focus on developing HIV treatments and products for cardiovascular and liver diseases, respiratory and inflammatory diseases and cancer. It operates research centers in California, Maryland and Washington in the US; Alberta in Canada; and Amsterdam in Netherlands. These research centers conduct process chemistry research and scale-up activities of its clinical development candidates. In FY2018, the company spent US$5,018 million on R&amp;D, which as a percentage of revenue stood at 22.7%. The company holds US and foreign patents for various product candidates for the treatment of HIV, liver diseases, cancer and cardiovascular diseases.</t>
  </si>
  <si>
    <t>Improved Liquidity position increases the company’s ability to fund its day to day operations</t>
  </si>
  <si>
    <t>The company’s current ratio was 3.4 at the end of FY2018 as compared to a current ratio of 2.7 at the end of FY2017. The increase in current ratio of the company was due to 12.6% increase in total current assets from US$31,823 million in FY2017 to US$35,836 million in FY2018, due to increase in cash and short term investments. The company’s current ratio was higher than that of its major competitors, AbbVie Inc and Bristol-Myers Squibb Co, which reported current ratio of 0.9 and 1.6 during the same period. Improved liquidity is an indication of the increasing ease in funding the company’s day to day operations, which also improves its ability to capture growth opportunities in the market.</t>
  </si>
  <si>
    <t>Opportunities</t>
  </si>
  <si>
    <t>Decline in revenue decreases the company’s ability to allocate adequate funds for future growth prospect</t>
  </si>
  <si>
    <t>The company exhibited a weak revenue performance during the review year. In FY2018, Gilead reported revenue of US$22,127 million as compared to US$26,107 million in FY2017, an annual decline of 15.2%. The decline in revenue was primarily due to lower HCV products sales  in the US, Europe and Other countries. The company’s HCV product sales decreased by 60% in FY2018 primarily due to lower average net selling price and lower sales volume across all major markets as a result of increased competition and lower patient starts. Declining revenue growth decreases the company’s ability to allocate adequate funds for its future growth prospect.</t>
  </si>
  <si>
    <t>Weaknesses</t>
  </si>
  <si>
    <t>Strategic partnership agreements</t>
  </si>
  <si>
    <t>The company entered into several partnership agreements in the recent year. In January 2019, the company entered into a collaboration and license agreement with Yuhan Corporation to develop novel investigational treatments for advanced fibrosis due to nonalcoholic steatohepatitis. In December 2018, the company entered into a partnership with Agenus Inc for the development and commercialization of up to five novel immuno-oncology therapies. In October 2018, Gilead entered into collaboration with Tango Therapeutics to discover, develop and commercialize a pipeline of innovative targeted immuno-oncology treatments for patients with cancer. In September 2018, the company entered into a strategic partnership with Precision BioSciences to develop therapies targeting the in vivo exclusion of hepatitis B virus with Precision’s ARCUS platform.</t>
  </si>
  <si>
    <t>Product approvals to strengthen Gilead’s portfolio</t>
  </si>
  <si>
    <t>The company has received various approvals for its products recently. These approvals would help the company to provide treatments in the HIV, genotypes of chronic hepatitis C and other liver diseases. In January 2019, the company's Epclusa medicine was approved by Japan’s Ministry of Health, Labour and Welfare (MHLW) for the treatment of for adults with chronic hepatitis C virus (HCV) infection with decompensated cirrhosis and without cirrhosis. In December 2018, the company’s Descovy medicine was approved by the China National Medical Products Administration for the treatment of HIV-1 infection. In the same month, the company’s Harvoni medicine was approved by the National Medical Products Administration (NMPA) for the treatment of chronic hepatitis C virus (HCV) genotype 1-6 infection in adults and adolescents aged 12 to 18 years. In November 2018, the company’s Vemlidy medicine was approved by the China National Medical Products Administration for the treatment of chronic hepatitis B in adults and adolescents.</t>
  </si>
  <si>
    <t>Positive outlook for global pharmaceutical industry provides growth opportunity for the company</t>
  </si>
  <si>
    <t>The global pharmaceuticals market has experienced healthy growth in recent years and also expected to grow in the next few years. According to in-house-research the global pharmaceuticals market is forecast to reach a value of US$1,469.8 billion by 2023 from US$1,111.8 billion in 2018, growing at a CAGR of 5.7% during 2018-2023. The US accounted for 35.3% of the global pharmaceuticals market value in 2017, followed by Asia-Pacific (29.2%), Europe (25.8%), Middle East (1.7%) and rest of the world (8%). The company stands to benefit from the growing pharmaceutical industry, which in turn will help drive the company's financial and operational growth.</t>
  </si>
  <si>
    <t>Threats</t>
  </si>
  <si>
    <t>Intense competition could erode the company's market share</t>
  </si>
  <si>
    <t>Gilead faces intense competition from large global pharmaceutical and biotechnology companies, specialized pharmaceutical firms and generic drug manufacturers. The company’s HCV products compete with products marketed by AbbVie and Merck &amp; Co. Its HBV products compete with products marketed by Bristol-Myers Squibb Company and Novartis Pharmaceuticals Corporation. The company’s TAF-containing HIV products compete primarily with products from ViiV Healthcare. Moreover, Yescarta competes with a CAR T cell therapy marketed by Novartis and Letairis competes with products marketed by Actelion Pharmaceuticals US, Inc., United Therapeutics Corporation and Pfizer Inc. Letairis is also expected to face competition from manufacturers of generic versions of Letairis in the United States. Availability of generic versions could compel Gilead to decrease the prices of its products, which in turn, could affect its profit margins.</t>
  </si>
  <si>
    <t>Credit risks from Southern European customers</t>
  </si>
  <si>
    <t>Gilead's European product sales to government-owned or supported customers in Southern Europe, specifically Greece, Italy, Portugal and Spain have historically been and continue to be subject to significant payment delays due to government funding and reimbursement practices. This has resulted and may continue to result in days sales outstanding being significantly higher in these countries due to the average length of time that accounts receivable remain outstanding. As of December 31, 2018, the company's accounts receivable in these countries totaled approximately $161 million, of which $31 million were greater than 120 days past due, including us$27 million greater than 365 days past due. As a result of the fiscal and debt crises in these countries, the number of days the invoices are past due has continued to increase. Furthermore, significant changes in the reimbursement practices of these European governments could affect the outstanding receivables.</t>
  </si>
  <si>
    <t>Current and potential health care reforms could reduce reimbursement levels</t>
  </si>
  <si>
    <t>Legislative and regulatory changes to government prescription drug procurement and reimbursement programs occur relatively frequently in the US and foreign jurisdictions. In 2010, healthcare reform legislation was adopted in the US. As a result, the company is required to further rebate or discount products reimbursed or paid for by various public payers, including Medicaid and other entities eligible to purchase discounted products through the 340B Drug Pricing Program under the Public Health Service Act, such as AIDS Drug Assistance Programs (ADAPs). The discounts, rebates and fees in the legislation that impacted the company include, minimum base rebate amount owed to Medicaid on products reimbursed by Medicaid which has been increased by 8%, and the discounts or rebates the company owe to ADAPs and other Public Health Service entities which reimburse or purchase the company's products which has also been increased by 8%, extension of rebates to patients receiving its products through Medicaid managed care organizations and provision of 50% discount on products sold to patients while they are in the Medicare Part D donut hole.</t>
  </si>
  <si>
    <t>Strengths</t>
  </si>
  <si>
    <t>SWOT Analysis &amp; Key Product Details for investors</t>
  </si>
  <si>
    <t>Key Products</t>
  </si>
  <si>
    <t>Activity Ratios</t>
  </si>
  <si>
    <t>Working Capital Turnover</t>
  </si>
  <si>
    <t>Fixed Asset Turnover</t>
  </si>
  <si>
    <t>Liquidity Ratios</t>
  </si>
  <si>
    <t>Current Ratio</t>
  </si>
  <si>
    <t>Quick Ratio</t>
  </si>
  <si>
    <t>Cash Ratio</t>
  </si>
  <si>
    <t>Solvency Ratios</t>
  </si>
  <si>
    <t>Debt to Asset</t>
  </si>
  <si>
    <t>Debt to Equity</t>
  </si>
  <si>
    <t>Interest Coverage</t>
  </si>
  <si>
    <t>Profitability Ratios</t>
  </si>
  <si>
    <t>Operating Profit Margin</t>
  </si>
  <si>
    <t>Net Profit Margin</t>
  </si>
  <si>
    <t>Return on Assets</t>
  </si>
  <si>
    <t>Return on Equity</t>
  </si>
  <si>
    <t>Ratio Analysis</t>
  </si>
  <si>
    <t>Historical Ratios</t>
  </si>
  <si>
    <t xml:space="preserve"> Forecast Ratios</t>
  </si>
  <si>
    <r>
      <t xml:space="preserve">Table of Contents </t>
    </r>
    <r>
      <rPr>
        <sz val="16"/>
        <color rgb="FFFF0000"/>
        <rFont val="Arial Narrow"/>
        <family val="2"/>
      </rPr>
      <t>(Please click an item to view)</t>
    </r>
  </si>
  <si>
    <t>Disease Category</t>
  </si>
  <si>
    <t>HIV/AIDS</t>
  </si>
  <si>
    <t>Atripla®</t>
  </si>
  <si>
    <t>efavirenz 600 mg/emtricitabine 200 mg/ tenofovir disoproxil fumarate 300 mg</t>
  </si>
  <si>
    <t>Biktarvy®</t>
  </si>
  <si>
    <t>bictegravir 50 mg/emtricitabine 200 mg/tenofovir alafenamide 25 mg</t>
  </si>
  <si>
    <t>Complera®</t>
  </si>
  <si>
    <t>emtricitabine 200 mg/rilpivirine 25 mg/tenofovir disoproxil fumarate 300 mg</t>
  </si>
  <si>
    <t>Descovy®</t>
  </si>
  <si>
    <t>emtricitabine 200 mg/ tenofovir alafenamide 25 mg</t>
  </si>
  <si>
    <t>Emtriva®</t>
  </si>
  <si>
    <t>emtricitabine 200 mg</t>
  </si>
  <si>
    <t>Genvoya®</t>
  </si>
  <si>
    <t>elvitegravir 150 mg/cobicistat 150 mg/ emtricitabine 200 mg/tenofovir alafenamide 10 mg</t>
  </si>
  <si>
    <t>Odefsey®</t>
  </si>
  <si>
    <t>emtricitabine 200 mg/rilpivirine 25 mg/ tenofovir alafenamide 25 mg</t>
  </si>
  <si>
    <t>Stribild®</t>
  </si>
  <si>
    <t>elvitegravir 150 mg/cobicistat 150 mg/ emtricitabine 200 mg/tenofovir disoproxil fumarate 300 mg</t>
  </si>
  <si>
    <t>Truvada®</t>
  </si>
  <si>
    <t>emtricitabine 200 mg/tenofovir disoproxil fumarate 300 mg</t>
  </si>
  <si>
    <t>Tybost®</t>
  </si>
  <si>
    <t>cobicistat 150 mg</t>
  </si>
  <si>
    <t>Viread®</t>
  </si>
  <si>
    <t>tenofovir disoproxil fumarate 300 mg</t>
  </si>
  <si>
    <t>Liver Disease</t>
  </si>
  <si>
    <t>Epclusa®</t>
  </si>
  <si>
    <t>sofosbuvir 400 mg/velpatasvir 100 mg</t>
  </si>
  <si>
    <t>Harvoni®</t>
  </si>
  <si>
    <t>ledipasvir 90 mg/sofosbuvir 400 mg</t>
  </si>
  <si>
    <t>Hepsera®</t>
  </si>
  <si>
    <t>adefovir dipivoxil 10 mg</t>
  </si>
  <si>
    <t>Sovaldi®</t>
  </si>
  <si>
    <t>sofosbuvir 400 mg</t>
  </si>
  <si>
    <t>Vemlidy®</t>
  </si>
  <si>
    <t>tenofovir alafenamide 25 mg</t>
  </si>
  <si>
    <t>Vosevi®</t>
  </si>
  <si>
    <t>sofosbuvir 400 mg/velpatasvir 100 mg/voxilaprevir 100 mg tablets</t>
  </si>
  <si>
    <t>Hematology/Oncology/Cell Therapy</t>
  </si>
  <si>
    <t>Yescarta®</t>
  </si>
  <si>
    <t>axicabtagene ciloleucel</t>
  </si>
  <si>
    <t>Zydelig®</t>
  </si>
  <si>
    <t>idelalisib 150 mg</t>
  </si>
  <si>
    <t>Cardiovascular</t>
  </si>
  <si>
    <t>Letairis®</t>
  </si>
  <si>
    <t>ambrisentan 5 mg and 10 mg</t>
  </si>
  <si>
    <t>Lexiscan®</t>
  </si>
  <si>
    <t>regadenoson injection 0.4 mg</t>
  </si>
  <si>
    <t>Ranexa®</t>
  </si>
  <si>
    <t>ranolazine 500 mg and 1000 mg</t>
  </si>
  <si>
    <t>Inflammation/Respiratory</t>
  </si>
  <si>
    <t>Tamiflu®</t>
  </si>
  <si>
    <t>oseltamivir phosphate 75 mg</t>
  </si>
  <si>
    <t>Other Medicines</t>
  </si>
  <si>
    <t>AmBisome®</t>
  </si>
  <si>
    <t>amphotericin b liposome for injection 50 mg/vial</t>
  </si>
  <si>
    <t>Macugen®</t>
  </si>
  <si>
    <t>pegaptanib sodium injection 0.3 mg</t>
  </si>
  <si>
    <t>Products / Medicines</t>
  </si>
  <si>
    <t>Gilead is committed to advancing care for patients around the world, by bringing forward medicines in areas of unmet medical need. The companies does this through internal research and development, as well as through collaborations with academic and industry partners. Following are the details of key products/ medicines being produced by the company under difference categories.</t>
  </si>
  <si>
    <t>c</t>
  </si>
  <si>
    <t>Source: Gilead Website</t>
  </si>
  <si>
    <t>Based on Number of Shares and Free Cash Flow</t>
  </si>
  <si>
    <t>Ratios &amp; Indicators</t>
  </si>
  <si>
    <t>Investor has been provided the forecasted value per share and the flexibility to change it only,  if certain parameters such as interest rate changes. Cost of equity may also be varied due to change in multiple factors and investor can adjust it accordingly using drop-down list. Then investor can compare it with the current prevailing market price on any particular day and will be provided an immediate advice to buy-sell.</t>
  </si>
  <si>
    <t>As per Company's announcement, Gilead is working closely with global health authorities to respond to the novel coronavirus (COVID-19) outbreak through the appropriate use of the investigational drugs. Together with the U.S. Food and Drug Administration (FDA), Centers for Disease Control and Prevention (CDC), Department of Health and Human Services (DHHS), National Institute of Allergies and Infectious Diseases (NIAID) and Department of Defense (DoD) - CBRN Medical; the China CDC and National Medical Product Administration (NMPA); the World Health Organization (WHO). In the United States, the Food and Drug Administration (FDA) has authorized the emergency use of a drug produced by GILEAD namely, "Remdesivir" to treat  SARS-CoV-2 infection and severe COVID-19.</t>
  </si>
  <si>
    <t>Investors can view historical and forecasted financial statements, as well as financial summary and key ratios by picking an item from the drop-down list.</t>
  </si>
  <si>
    <t>Please choose an item to view from the drop-down menu and click.</t>
  </si>
  <si>
    <t>Please choose an item to view from the drop-down menu and click</t>
  </si>
  <si>
    <t>In addition to financial information, SWOT analysis has also been conducted along with details of key products of the company, to enable investors to make an informed investment decision by using the model.</t>
  </si>
  <si>
    <t>There is already excessive discussion in media about Gilead and its products, so it is assumed that the company will not have to incur significant additional cost on marketing and sales. So S,G&amp;A is assumed to increase at 25%.</t>
  </si>
  <si>
    <t>Keeping in view the current low interest rates and historical average interest cost, it is assumed that the company can borrow at 3% rate of interest. Historical average interest rate of the company was disclosed in Form-10K filed with the Securities and Exchange Commission (SEC). It was downloaded to make assumptions plausible.</t>
  </si>
  <si>
    <t>Historical trends for income tax do not apply to Gilead due to two reasons: (i). As per audited financial statements, company had some disputes with tax authorities in the past. Company transferred some business to Ireland due to some tax reasons and assets along with different tax base. Some other tax base assets were transferred to US under the effective tax strategy. (ii) US Congress changed C Corp tax rates at the end of 2018 from 35% to 21%. Gilead is registered as C Corp with US Tax authorities. During 2019, its disputes were settled with tax authorities and company is assuming that in future tax expense will be stabilized and it will be incurred at current rate of 21%.</t>
  </si>
  <si>
    <t>Dividends have also been changed under the new strategy, implemented three years ago and the company paid consistent dividend in the range of 50-60%. It is assumed that in future company will pay dividend at 50% rate.</t>
  </si>
  <si>
    <t>As mentioned in Income Statement assumptions, that company was able to resolve tax disputes and the impact of  Congress's new Act, TCJA  was fully accounted for in 2019, it is assumed that deferred tax rate would remain stable at 15%. These are mainly temporary tax differences on fixed assets of the company, as highlighted in fixed asset schedule.</t>
  </si>
  <si>
    <t>Plowback rate</t>
  </si>
  <si>
    <t>value of debt</t>
  </si>
  <si>
    <t>As per Other Income note in audited Financial Statements, due to some change in an accounting standard to treat available for sale equity securities, there is an outlier in 2019. This $1.8 billion gain was incurred on one security i.e., Galapagos and company is assuming that since it adopted that accounting standard, in future, such gains are also expected, that's why, I assumed that other income will increase at 9%.</t>
  </si>
  <si>
    <t>Liabilities and Shareholders' Equity</t>
  </si>
  <si>
    <t>Accounts payable</t>
  </si>
  <si>
    <t>Long-term income taxes payable</t>
  </si>
  <si>
    <t>Accumulated Other Comprehensive Income</t>
  </si>
  <si>
    <t>Total stockholders' equity</t>
  </si>
  <si>
    <t>Current assets assumed to increase at historical averages, as specified in front of each item.</t>
  </si>
  <si>
    <t>Historical average of increase in PPE was 13.44%, however, it is assumed that to meet the increased demand of its drugs, company will add new PPE and replace some of the existing ones to implement effective production process.</t>
  </si>
  <si>
    <t>Other long-term assets / Total  Assets</t>
  </si>
  <si>
    <t>Accounts payable / Total Liabilities</t>
  </si>
  <si>
    <t>Long-term income taxes payable / Total liabilities</t>
  </si>
  <si>
    <t>Other long term obligations / Total Labilities</t>
  </si>
  <si>
    <t>Companies has been buying back and issuing shares with unprecedented pattern to match stable earnings, and under the new strategic initiatives, it is assumed to stay constant at 28%.</t>
  </si>
  <si>
    <t>Company has implemented share buy-back during the last few years and minority shareholders' interest has been severely fluctuating. However, it is assumed that NCI would stay at 18% and any excess/ under holding by minority shareholders can be controlled using buy-back options at lucrative rates.</t>
  </si>
  <si>
    <t>Sensitivity Analysis</t>
  </si>
  <si>
    <t>Current Number of shares (in Millions from Audited Financial Statements)</t>
  </si>
  <si>
    <r>
      <rPr>
        <b/>
        <sz val="11"/>
        <color rgb="FF000000"/>
        <rFont val="Calibri"/>
        <family val="2"/>
      </rPr>
      <t>Explanation:</t>
    </r>
    <r>
      <rPr>
        <sz val="11"/>
        <color rgb="FF000000"/>
        <rFont val="Calibri"/>
        <family val="2"/>
      </rPr>
      <t xml:space="preserve"> Tornado chart was prepared under +50/-50% variation in four variables i.e.,  WACC, Growth rate, Number of shares and Free cash flow. It can be observed change in WACC. In particular, -50% change had substantial impact on the share price. However, change in growth rate had the least amount of impact.</t>
    </r>
  </si>
  <si>
    <t>Average Gilead share price based on Multiples</t>
  </si>
  <si>
    <t>Receivables Turnover</t>
  </si>
  <si>
    <t>Source: MarketLine database</t>
  </si>
  <si>
    <t xml:space="preserve">The objective of this financial model is to help the investor in making informed decisions while making an investment in Gilead Science Inc. The model provides brief profile of the company and the company's role during the recent COVID-19 pandemic. Under investors' section, potential investor can pick up any financial statements for the last five years. Forecasted figures of these financial statements for the next five years have also been provided along with key ratios and indicators. The user has been provided a link of the current forecasted share price of the company (based on DCF and Multiples based valuation) and the flexibility to adjust this price based on some key parameters. Then the user can pick-up current market price of the company using the scroll bar and as the user adjusts the current market price, a pop-up message will appear in output area with an advice to buy / sell. </t>
  </si>
  <si>
    <t>shareholder's equity is assumed at 35% in the foreseeable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</si>
</sst>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_(&quot;$&quot;* \(#,##0.00\);_(&quot;$&quot;* &quot;-&quot;??_);_(@_)"/>
    <numFmt numFmtId="165" formatCode="_(* #,##0.00_);_(* \(#,##0.00\);_(* &quot;-&quot;??_);_(@_)"/>
    <numFmt numFmtId="166" formatCode="_(* #,##0_);_(* \(#,##0\);_(* &quot;-&quot;??_);_(@_)"/>
    <numFmt numFmtId="167" formatCode="_-* #,##0_-;\(#,##0\)_-;_-* &quot;-&quot;_-;_-@_-"/>
    <numFmt numFmtId="168" formatCode="0.0%"/>
    <numFmt numFmtId="169" formatCode="0.00000"/>
    <numFmt numFmtId="170" formatCode="_-* #,##0_-;\-* #,##0_-;_-* &quot;-&quot;??_-;_-@_-"/>
    <numFmt numFmtId="171" formatCode="0.000%"/>
    <numFmt numFmtId="172" formatCode="0.0000%"/>
    <numFmt numFmtId="173" formatCode="_(&quot;$&quot;* #,##0_);_(&quot;$&quot;* \(#,##0\);_(&quot;$&quot;* &quot;-&quot;??_);_(@_)"/>
    <numFmt numFmtId="174" formatCode="0.000"/>
  </numFmts>
  <fonts count="56" x14ac:knownFonts="1">
    <font>
      <sz val="11"/>
      <color rgb="FF000000"/>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22"/>
      <color theme="1"/>
      <name val="Arial Narrow"/>
      <family val="2"/>
    </font>
    <font>
      <sz val="11"/>
      <color theme="1"/>
      <name val="Arial Narrow"/>
      <family val="2"/>
    </font>
    <font>
      <b/>
      <sz val="11"/>
      <color theme="1"/>
      <name val="Arial Narrow"/>
      <family val="2"/>
    </font>
    <font>
      <b/>
      <sz val="26"/>
      <color theme="1"/>
      <name val="Arial Narrow"/>
      <family val="2"/>
    </font>
    <font>
      <b/>
      <sz val="11"/>
      <color rgb="FF7030A0"/>
      <name val="Arial Narrow"/>
      <family val="2"/>
    </font>
    <font>
      <sz val="12"/>
      <color theme="0"/>
      <name val="Arial Narrow"/>
      <family val="2"/>
    </font>
    <font>
      <b/>
      <sz val="12"/>
      <color theme="0"/>
      <name val="Arial Narrow"/>
      <family val="2"/>
    </font>
    <font>
      <sz val="11"/>
      <color rgb="FF000000"/>
      <name val="Arial Narrow"/>
      <family val="2"/>
    </font>
    <font>
      <b/>
      <sz val="11"/>
      <color theme="6"/>
      <name val="Arial Narrow"/>
      <family val="2"/>
    </font>
    <font>
      <b/>
      <sz val="11"/>
      <color rgb="FF000000"/>
      <name val="Arial Narrow"/>
      <family val="2"/>
    </font>
    <font>
      <sz val="11"/>
      <color rgb="FFFF0000"/>
      <name val="Arial Narrow"/>
      <family val="2"/>
    </font>
    <font>
      <b/>
      <sz val="16"/>
      <color theme="0"/>
      <name val="Arial Narrow"/>
      <family val="2"/>
    </font>
    <font>
      <b/>
      <sz val="14"/>
      <color theme="0"/>
      <name val="Arial Narrow"/>
      <family val="2"/>
    </font>
    <font>
      <sz val="11"/>
      <color theme="9" tint="-0.249977111117893"/>
      <name val="Arial Narrow"/>
      <family val="2"/>
    </font>
    <font>
      <sz val="12"/>
      <color theme="1"/>
      <name val="Arial Narrow"/>
      <family val="2"/>
    </font>
    <font>
      <i/>
      <sz val="12"/>
      <color theme="1"/>
      <name val="Arial Narrow"/>
      <family val="2"/>
    </font>
    <font>
      <i/>
      <sz val="11"/>
      <color rgb="FF000000"/>
      <name val="Arial Narrow"/>
      <family val="2"/>
    </font>
    <font>
      <sz val="10"/>
      <color theme="1"/>
      <name val="Arial"/>
      <family val="2"/>
    </font>
    <font>
      <b/>
      <sz val="11"/>
      <color theme="1"/>
      <name val="Arial"/>
      <family val="2"/>
    </font>
    <font>
      <b/>
      <sz val="10"/>
      <color theme="1"/>
      <name val="Arial"/>
      <family val="2"/>
    </font>
    <font>
      <b/>
      <sz val="10"/>
      <color theme="0"/>
      <name val="Arial Narrow"/>
      <family val="2"/>
    </font>
    <font>
      <b/>
      <sz val="11"/>
      <color theme="0"/>
      <name val="Arial Narrow"/>
      <family val="2"/>
    </font>
    <font>
      <sz val="11"/>
      <name val="Arial Narrow"/>
      <family val="2"/>
    </font>
    <font>
      <sz val="11"/>
      <color theme="0"/>
      <name val="Arial Narrow"/>
      <family val="2"/>
    </font>
    <font>
      <sz val="13"/>
      <color theme="0"/>
      <name val="Arial Narrow"/>
      <family val="2"/>
    </font>
    <font>
      <sz val="11"/>
      <color theme="5" tint="-0.249977111117893"/>
      <name val="Arial Narrow"/>
      <family val="2"/>
    </font>
    <font>
      <b/>
      <i/>
      <sz val="11"/>
      <color theme="5" tint="-0.249977111117893"/>
      <name val="Arial Narrow"/>
      <family val="2"/>
    </font>
    <font>
      <u/>
      <sz val="11"/>
      <color theme="10"/>
      <name val="Calibri"/>
      <family val="2"/>
    </font>
    <font>
      <u/>
      <sz val="11"/>
      <color theme="10"/>
      <name val="Arial Narrow"/>
      <family val="2"/>
    </font>
    <font>
      <b/>
      <sz val="11"/>
      <name val="Arial Narrow"/>
      <family val="2"/>
    </font>
    <font>
      <sz val="11"/>
      <color theme="6" tint="-0.499984740745262"/>
      <name val="Arial Narrow"/>
      <family val="2"/>
    </font>
    <font>
      <b/>
      <sz val="11"/>
      <color theme="7" tint="-0.499984740745262"/>
      <name val="Arial Narrow"/>
      <family val="2"/>
    </font>
    <font>
      <sz val="11"/>
      <color theme="7" tint="-0.499984740745262"/>
      <name val="Arial Narrow"/>
      <family val="2"/>
    </font>
    <font>
      <b/>
      <sz val="11"/>
      <color rgb="FFFF0000"/>
      <name val="Arial Narrow"/>
      <family val="2"/>
    </font>
    <font>
      <sz val="10"/>
      <color rgb="FF000000"/>
      <name val="Times New Roman"/>
      <family val="1"/>
    </font>
    <font>
      <sz val="10"/>
      <color rgb="FF000000"/>
      <name val="Arial Narrow"/>
      <family val="2"/>
    </font>
    <font>
      <b/>
      <sz val="12"/>
      <name val="Arial Narrow"/>
      <family val="2"/>
    </font>
    <font>
      <sz val="12"/>
      <name val="Arial Narrow"/>
      <family val="2"/>
    </font>
    <font>
      <b/>
      <u/>
      <sz val="14"/>
      <color theme="10"/>
      <name val="Arial Narrow"/>
      <family val="2"/>
    </font>
    <font>
      <b/>
      <sz val="10"/>
      <color theme="1"/>
      <name val="Arial Narrow"/>
      <family val="2"/>
    </font>
    <font>
      <sz val="10"/>
      <color theme="1"/>
      <name val="Arial Narrow"/>
      <family val="2"/>
    </font>
    <font>
      <i/>
      <sz val="10"/>
      <color theme="1"/>
      <name val="Arial Narrow"/>
      <family val="2"/>
    </font>
    <font>
      <sz val="16"/>
      <color rgb="FFFF0000"/>
      <name val="Arial Narrow"/>
      <family val="2"/>
    </font>
    <font>
      <sz val="14"/>
      <color rgb="FF212529"/>
      <name val="Arial Narrow"/>
      <family val="2"/>
    </font>
    <font>
      <b/>
      <sz val="13.5"/>
      <color rgb="FFC73442"/>
      <name val="Arial Narrow"/>
      <family val="2"/>
    </font>
    <font>
      <b/>
      <u/>
      <sz val="13"/>
      <color theme="10"/>
      <name val="Arial Narrow"/>
      <family val="2"/>
    </font>
    <font>
      <b/>
      <sz val="16"/>
      <name val="Arial Narrow"/>
      <family val="2"/>
    </font>
    <font>
      <sz val="10"/>
      <color theme="5" tint="-0.499984740745262"/>
      <name val="Arial Narrow"/>
      <family val="2"/>
    </font>
    <font>
      <b/>
      <sz val="14"/>
      <name val="Arial Narrow"/>
      <family val="2"/>
    </font>
  </fonts>
  <fills count="23">
    <fill>
      <patternFill patternType="none"/>
    </fill>
    <fill>
      <patternFill patternType="gray125"/>
    </fill>
    <fill>
      <patternFill patternType="solid">
        <fgColor theme="3" tint="-0.249977111117893"/>
        <bgColor indexed="64"/>
      </patternFill>
    </fill>
    <fill>
      <patternFill patternType="solid">
        <fgColor theme="9" tint="0.39997558519241921"/>
        <bgColor indexed="64"/>
      </patternFill>
    </fill>
    <fill>
      <patternFill patternType="solid">
        <fgColor rgb="FFED942D"/>
        <bgColor indexed="64"/>
      </patternFill>
    </fill>
    <fill>
      <patternFill patternType="solid">
        <fgColor theme="0"/>
        <bgColor indexed="64"/>
      </patternFill>
    </fill>
    <fill>
      <patternFill patternType="solid">
        <fgColor theme="8"/>
        <bgColor indexed="64"/>
      </patternFill>
    </fill>
    <fill>
      <patternFill patternType="solid">
        <fgColor rgb="FF132E57"/>
        <bgColor indexed="64"/>
      </patternFill>
    </fill>
    <fill>
      <patternFill patternType="solid">
        <fgColor rgb="FF00206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9"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00B050"/>
        <bgColor indexed="64"/>
      </patternFill>
    </fill>
  </fills>
  <borders count="35">
    <border>
      <left/>
      <right/>
      <top/>
      <bottom/>
      <diagonal/>
    </border>
    <border>
      <left/>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D5D8DB"/>
      </left>
      <right style="thin">
        <color rgb="FFD5D8DB"/>
      </right>
      <top style="thin">
        <color indexed="64"/>
      </top>
      <bottom style="double">
        <color indexed="64"/>
      </bottom>
      <diagonal/>
    </border>
    <border>
      <left style="thin">
        <color rgb="FFD5D8DB"/>
      </left>
      <right/>
      <top style="thin">
        <color indexed="64"/>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rgb="FFD5D8DB"/>
      </right>
      <top style="thin">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3">
    <xf numFmtId="0" fontId="0" fillId="0" borderId="0" applyNumberFormat="0" applyBorder="0" applyAlignment="0"/>
    <xf numFmtId="165" fontId="5" fillId="0" borderId="0" applyFont="0" applyFill="0" applyBorder="0" applyAlignment="0" applyProtection="0"/>
    <xf numFmtId="9" fontId="5" fillId="0" borderId="0" applyFont="0" applyFill="0" applyBorder="0" applyAlignment="0" applyProtection="0"/>
    <xf numFmtId="0" fontId="4" fillId="0" borderId="0"/>
    <xf numFmtId="164" fontId="5" fillId="0" borderId="0" applyFont="0" applyFill="0" applyBorder="0" applyAlignment="0" applyProtection="0"/>
    <xf numFmtId="0" fontId="3" fillId="0" borderId="0"/>
    <xf numFmtId="165" fontId="3" fillId="0" borderId="0" applyFont="0" applyFill="0" applyBorder="0" applyAlignment="0" applyProtection="0"/>
    <xf numFmtId="0" fontId="24" fillId="0" borderId="0"/>
    <xf numFmtId="0" fontId="2" fillId="0" borderId="0"/>
    <xf numFmtId="165" fontId="2" fillId="0" borderId="0" applyFont="0" applyFill="0" applyBorder="0" applyAlignment="0" applyProtection="0"/>
    <xf numFmtId="9" fontId="2" fillId="0" borderId="0" applyFont="0" applyFill="0" applyBorder="0" applyAlignment="0" applyProtection="0"/>
    <xf numFmtId="0" fontId="1" fillId="0" borderId="0"/>
    <xf numFmtId="0" fontId="34" fillId="0" borderId="0" applyNumberFormat="0" applyFill="0" applyBorder="0" applyAlignment="0" applyProtection="0"/>
  </cellStyleXfs>
  <cellXfs count="454">
    <xf numFmtId="0" fontId="0" fillId="0" borderId="0" xfId="0"/>
    <xf numFmtId="0" fontId="8" fillId="4" borderId="0" xfId="3" applyFont="1" applyFill="1"/>
    <xf numFmtId="0" fontId="8" fillId="5" borderId="0" xfId="3" applyFont="1" applyFill="1"/>
    <xf numFmtId="0" fontId="9" fillId="4" borderId="0" xfId="3" applyFont="1" applyFill="1"/>
    <xf numFmtId="0" fontId="10" fillId="0" borderId="0" xfId="3" applyFont="1" applyProtection="1">
      <protection locked="0"/>
    </xf>
    <xf numFmtId="0" fontId="11" fillId="5" borderId="0" xfId="3" applyFont="1" applyFill="1"/>
    <xf numFmtId="0" fontId="7" fillId="0" borderId="0" xfId="3" applyFont="1" applyProtection="1">
      <protection locked="0"/>
    </xf>
    <xf numFmtId="0" fontId="14" fillId="0" borderId="0" xfId="0" applyFont="1"/>
    <xf numFmtId="0" fontId="16" fillId="0" borderId="0" xfId="0" applyFont="1"/>
    <xf numFmtId="0" fontId="16" fillId="0" borderId="0" xfId="0" applyFont="1" applyAlignment="1">
      <alignment horizontal="center"/>
    </xf>
    <xf numFmtId="0" fontId="14" fillId="0" borderId="2" xfId="0" applyFont="1" applyBorder="1"/>
    <xf numFmtId="0" fontId="14" fillId="0" borderId="0" xfId="0" applyFont="1" applyBorder="1"/>
    <xf numFmtId="0" fontId="14" fillId="0" borderId="0" xfId="0" applyFont="1" applyAlignment="1">
      <alignment horizontal="left" indent="2"/>
    </xf>
    <xf numFmtId="0" fontId="14" fillId="3" borderId="0" xfId="0" applyFont="1" applyFill="1"/>
    <xf numFmtId="10" fontId="14" fillId="0" borderId="0" xfId="2" applyNumberFormat="1" applyFont="1" applyFill="1" applyProtection="1"/>
    <xf numFmtId="9" fontId="17" fillId="0" borderId="0" xfId="0" applyNumberFormat="1" applyFont="1"/>
    <xf numFmtId="0" fontId="17" fillId="0" borderId="0" xfId="0" applyFont="1"/>
    <xf numFmtId="0" fontId="14" fillId="0" borderId="0" xfId="0" applyFont="1" applyAlignment="1">
      <alignment horizontal="left" indent="5"/>
    </xf>
    <xf numFmtId="10" fontId="17" fillId="0" borderId="0" xfId="0" applyNumberFormat="1" applyFont="1"/>
    <xf numFmtId="9" fontId="17" fillId="0" borderId="0" xfId="2" applyFont="1" applyFill="1" applyProtection="1"/>
    <xf numFmtId="10" fontId="17" fillId="0" borderId="0" xfId="2" applyNumberFormat="1" applyFont="1" applyFill="1" applyProtection="1"/>
    <xf numFmtId="9" fontId="14" fillId="0" borderId="0" xfId="0" applyNumberFormat="1" applyFont="1"/>
    <xf numFmtId="167" fontId="18" fillId="7" borderId="0" xfId="1" applyNumberFormat="1" applyFont="1" applyFill="1" applyAlignment="1"/>
    <xf numFmtId="167" fontId="13" fillId="6" borderId="0" xfId="1" applyNumberFormat="1" applyFont="1" applyFill="1" applyAlignment="1">
      <alignment horizontal="centerContinuous" vertical="center"/>
    </xf>
    <xf numFmtId="167" fontId="12" fillId="6" borderId="0" xfId="1" applyNumberFormat="1" applyFont="1" applyFill="1" applyAlignment="1">
      <alignment horizontal="centerContinuous" vertical="center"/>
    </xf>
    <xf numFmtId="167" fontId="13" fillId="7" borderId="0" xfId="1" applyNumberFormat="1" applyFont="1" applyFill="1" applyAlignment="1">
      <alignment horizontal="centerContinuous" vertical="center"/>
    </xf>
    <xf numFmtId="0" fontId="19" fillId="6" borderId="0" xfId="1" applyNumberFormat="1" applyFont="1" applyFill="1" applyAlignment="1"/>
    <xf numFmtId="167" fontId="13" fillId="7" borderId="0" xfId="1" applyNumberFormat="1" applyFont="1" applyFill="1" applyAlignment="1"/>
    <xf numFmtId="0" fontId="19" fillId="7" borderId="0" xfId="1" applyNumberFormat="1" applyFont="1" applyFill="1" applyAlignment="1">
      <alignment horizontal="centerContinuous" vertical="center"/>
    </xf>
    <xf numFmtId="165" fontId="14" fillId="0" borderId="0" xfId="1" applyFont="1" applyFill="1" applyProtection="1"/>
    <xf numFmtId="165" fontId="20" fillId="0" borderId="0" xfId="1" applyFont="1" applyFill="1" applyProtection="1"/>
    <xf numFmtId="165" fontId="14" fillId="0" borderId="1" xfId="1" applyFont="1" applyFill="1" applyBorder="1" applyProtection="1"/>
    <xf numFmtId="165" fontId="20" fillId="0" borderId="1" xfId="1" applyFont="1" applyFill="1" applyBorder="1" applyProtection="1"/>
    <xf numFmtId="165" fontId="14" fillId="0" borderId="2" xfId="1" applyFont="1" applyFill="1" applyBorder="1" applyProtection="1"/>
    <xf numFmtId="165" fontId="20" fillId="0" borderId="2" xfId="1" applyFont="1" applyFill="1" applyBorder="1" applyProtection="1"/>
    <xf numFmtId="165" fontId="14" fillId="0" borderId="3" xfId="1" applyFont="1" applyFill="1" applyBorder="1" applyProtection="1"/>
    <xf numFmtId="165" fontId="20" fillId="0" borderId="3" xfId="1" applyFont="1" applyFill="1" applyBorder="1" applyProtection="1"/>
    <xf numFmtId="165" fontId="14" fillId="0" borderId="5" xfId="1" applyFont="1" applyFill="1" applyBorder="1" applyProtection="1"/>
    <xf numFmtId="165" fontId="20" fillId="0" borderId="5" xfId="1" applyFont="1" applyFill="1" applyBorder="1" applyProtection="1"/>
    <xf numFmtId="165" fontId="14" fillId="0" borderId="7" xfId="1" applyFont="1" applyFill="1" applyBorder="1" applyProtection="1"/>
    <xf numFmtId="165" fontId="20" fillId="0" borderId="7" xfId="1" applyFont="1" applyFill="1" applyBorder="1" applyProtection="1"/>
    <xf numFmtId="165" fontId="14" fillId="0" borderId="6" xfId="1" applyFont="1" applyFill="1" applyBorder="1" applyProtection="1"/>
    <xf numFmtId="165" fontId="20" fillId="0" borderId="6" xfId="1" applyFont="1" applyFill="1" applyBorder="1" applyProtection="1"/>
    <xf numFmtId="0" fontId="14" fillId="0" borderId="0" xfId="0" applyFont="1" applyAlignment="1">
      <alignment horizontal="center"/>
    </xf>
    <xf numFmtId="166" fontId="14" fillId="0" borderId="0" xfId="1" applyNumberFormat="1" applyFont="1" applyFill="1" applyProtection="1"/>
    <xf numFmtId="166" fontId="14" fillId="0" borderId="4" xfId="1" applyNumberFormat="1" applyFont="1" applyFill="1" applyBorder="1" applyProtection="1"/>
    <xf numFmtId="0" fontId="16" fillId="0" borderId="0" xfId="0" applyFont="1" applyAlignment="1">
      <alignment horizontal="left"/>
    </xf>
    <xf numFmtId="0" fontId="14" fillId="0" borderId="0" xfId="0" applyFont="1" applyAlignment="1">
      <alignment horizontal="left"/>
    </xf>
    <xf numFmtId="166" fontId="14" fillId="0" borderId="1" xfId="1" applyNumberFormat="1" applyFont="1" applyFill="1" applyBorder="1" applyProtection="1"/>
    <xf numFmtId="166" fontId="14" fillId="0" borderId="3" xfId="1" applyNumberFormat="1" applyFont="1" applyFill="1" applyBorder="1" applyProtection="1"/>
    <xf numFmtId="166" fontId="14" fillId="0" borderId="2" xfId="1" applyNumberFormat="1" applyFont="1" applyFill="1" applyBorder="1" applyProtection="1"/>
    <xf numFmtId="165" fontId="14" fillId="0" borderId="0" xfId="0" applyNumberFormat="1" applyFont="1"/>
    <xf numFmtId="0" fontId="15" fillId="6" borderId="0" xfId="0" applyFont="1" applyFill="1" applyBorder="1" applyAlignment="1">
      <alignment horizontal="centerContinuous" vertical="center"/>
    </xf>
    <xf numFmtId="167" fontId="13" fillId="7" borderId="0" xfId="1" applyNumberFormat="1" applyFont="1" applyFill="1" applyBorder="1" applyAlignment="1">
      <alignment horizontal="centerContinuous" vertical="center"/>
    </xf>
    <xf numFmtId="0" fontId="15" fillId="2" borderId="0" xfId="0" applyFont="1" applyFill="1" applyBorder="1" applyAlignment="1">
      <alignment horizontal="centerContinuous" vertical="center"/>
    </xf>
    <xf numFmtId="167" fontId="21" fillId="0" borderId="0" xfId="1" applyNumberFormat="1" applyFont="1"/>
    <xf numFmtId="167" fontId="22" fillId="0" borderId="0" xfId="1" applyNumberFormat="1" applyFont="1" applyAlignment="1">
      <alignment horizontal="right"/>
    </xf>
    <xf numFmtId="166" fontId="17" fillId="0" borderId="0" xfId="1" applyNumberFormat="1" applyFont="1" applyFill="1" applyProtection="1"/>
    <xf numFmtId="167" fontId="13" fillId="6" borderId="0" xfId="1" applyNumberFormat="1" applyFont="1" applyFill="1" applyBorder="1" applyAlignment="1">
      <alignment horizontal="centerContinuous" vertical="center"/>
    </xf>
    <xf numFmtId="0" fontId="19" fillId="6" borderId="0" xfId="0" applyFont="1" applyFill="1" applyBorder="1" applyAlignment="1">
      <alignment horizontal="center"/>
    </xf>
    <xf numFmtId="0" fontId="19" fillId="2" borderId="0" xfId="0" applyFont="1" applyFill="1" applyBorder="1" applyAlignment="1">
      <alignment horizontal="center"/>
    </xf>
    <xf numFmtId="166" fontId="20" fillId="0" borderId="0" xfId="1" applyNumberFormat="1" applyFont="1" applyFill="1" applyProtection="1"/>
    <xf numFmtId="166" fontId="20" fillId="0" borderId="4" xfId="1" applyNumberFormat="1" applyFont="1" applyFill="1" applyBorder="1" applyProtection="1"/>
    <xf numFmtId="166" fontId="20" fillId="0" borderId="1" xfId="1" applyNumberFormat="1" applyFont="1" applyFill="1" applyBorder="1" applyProtection="1"/>
    <xf numFmtId="166" fontId="20" fillId="0" borderId="3" xfId="1" applyNumberFormat="1" applyFont="1" applyFill="1" applyBorder="1" applyProtection="1"/>
    <xf numFmtId="166" fontId="20" fillId="0" borderId="2" xfId="1" applyNumberFormat="1" applyFont="1" applyFill="1" applyBorder="1" applyProtection="1"/>
    <xf numFmtId="168" fontId="14" fillId="0" borderId="0" xfId="2" applyNumberFormat="1" applyFont="1" applyFill="1" applyProtection="1"/>
    <xf numFmtId="0" fontId="9" fillId="6" borderId="0" xfId="0" applyFont="1" applyFill="1"/>
    <xf numFmtId="167" fontId="18" fillId="8" borderId="0" xfId="1" applyNumberFormat="1" applyFont="1" applyFill="1" applyAlignment="1"/>
    <xf numFmtId="14" fontId="8" fillId="0" borderId="0" xfId="5" applyNumberFormat="1" applyFont="1"/>
    <xf numFmtId="165" fontId="14" fillId="0" borderId="0" xfId="6" applyFont="1"/>
    <xf numFmtId="0" fontId="8" fillId="0" borderId="0" xfId="5" applyFont="1"/>
    <xf numFmtId="169" fontId="8" fillId="0" borderId="0" xfId="5" applyNumberFormat="1" applyFont="1"/>
    <xf numFmtId="0" fontId="23" fillId="0" borderId="9" xfId="0" applyFont="1" applyBorder="1" applyAlignment="1">
      <alignment horizontal="centerContinuous"/>
    </xf>
    <xf numFmtId="0" fontId="14" fillId="0" borderId="0" xfId="0" applyFont="1" applyBorder="1" applyAlignment="1"/>
    <xf numFmtId="0" fontId="14" fillId="0" borderId="8" xfId="0" applyFont="1" applyBorder="1" applyAlignment="1"/>
    <xf numFmtId="0" fontId="23" fillId="0" borderId="9" xfId="0" applyFont="1" applyBorder="1" applyAlignment="1">
      <alignment horizontal="center"/>
    </xf>
    <xf numFmtId="0" fontId="14" fillId="9" borderId="8" xfId="0" applyFont="1" applyFill="1" applyBorder="1" applyAlignment="1"/>
    <xf numFmtId="0" fontId="14" fillId="9" borderId="0" xfId="0" applyFont="1" applyFill="1"/>
    <xf numFmtId="166" fontId="14" fillId="0" borderId="5" xfId="0" applyNumberFormat="1" applyFont="1" applyBorder="1"/>
    <xf numFmtId="166" fontId="14" fillId="0" borderId="7" xfId="0" applyNumberFormat="1" applyFont="1" applyBorder="1"/>
    <xf numFmtId="0" fontId="24" fillId="0" borderId="0" xfId="7"/>
    <xf numFmtId="0" fontId="25" fillId="11" borderId="10" xfId="7" applyFont="1" applyFill="1" applyBorder="1"/>
    <xf numFmtId="0" fontId="26" fillId="9" borderId="10" xfId="7" applyFont="1" applyFill="1" applyBorder="1"/>
    <xf numFmtId="0" fontId="27" fillId="6" borderId="0" xfId="1" applyNumberFormat="1" applyFont="1" applyFill="1" applyAlignment="1"/>
    <xf numFmtId="0" fontId="27" fillId="7" borderId="0" xfId="1" applyNumberFormat="1" applyFont="1" applyFill="1" applyAlignment="1">
      <alignment horizontal="centerContinuous" vertical="center"/>
    </xf>
    <xf numFmtId="166" fontId="14" fillId="0" borderId="3" xfId="0" applyNumberFormat="1" applyFont="1" applyBorder="1"/>
    <xf numFmtId="166" fontId="14" fillId="0" borderId="1" xfId="0" applyNumberFormat="1" applyFont="1" applyBorder="1"/>
    <xf numFmtId="2" fontId="0" fillId="0" borderId="0" xfId="0" applyNumberFormat="1"/>
    <xf numFmtId="0" fontId="14" fillId="0" borderId="14" xfId="0" applyFont="1" applyBorder="1"/>
    <xf numFmtId="0" fontId="14" fillId="0" borderId="13" xfId="0" applyFont="1" applyBorder="1"/>
    <xf numFmtId="0" fontId="19" fillId="6" borderId="0" xfId="1" applyNumberFormat="1" applyFont="1" applyFill="1" applyBorder="1" applyAlignment="1"/>
    <xf numFmtId="0" fontId="19" fillId="7" borderId="0" xfId="1" applyNumberFormat="1" applyFont="1" applyFill="1" applyBorder="1" applyAlignment="1">
      <alignment horizontal="centerContinuous" vertical="center"/>
    </xf>
    <xf numFmtId="0" fontId="19" fillId="7" borderId="14" xfId="1" applyNumberFormat="1" applyFont="1" applyFill="1" applyBorder="1" applyAlignment="1">
      <alignment horizontal="centerContinuous" vertical="center"/>
    </xf>
    <xf numFmtId="166" fontId="14" fillId="0" borderId="0" xfId="1" applyNumberFormat="1" applyFont="1" applyFill="1" applyBorder="1" applyProtection="1"/>
    <xf numFmtId="166" fontId="14" fillId="0" borderId="14" xfId="1" applyNumberFormat="1" applyFont="1" applyFill="1" applyBorder="1" applyProtection="1"/>
    <xf numFmtId="166" fontId="14" fillId="0" borderId="0" xfId="0" applyNumberFormat="1" applyFont="1" applyBorder="1"/>
    <xf numFmtId="166" fontId="14" fillId="0" borderId="14" xfId="0" applyNumberFormat="1" applyFont="1" applyBorder="1"/>
    <xf numFmtId="166" fontId="14" fillId="0" borderId="15" xfId="0" applyNumberFormat="1" applyFont="1" applyBorder="1"/>
    <xf numFmtId="0" fontId="16" fillId="0" borderId="16" xfId="0" applyFont="1" applyBorder="1"/>
    <xf numFmtId="165" fontId="16" fillId="0" borderId="1" xfId="0" applyNumberFormat="1" applyFont="1" applyBorder="1"/>
    <xf numFmtId="0" fontId="14" fillId="0" borderId="4" xfId="0" applyFont="1" applyBorder="1"/>
    <xf numFmtId="0" fontId="14" fillId="0" borderId="17" xfId="0" applyFont="1" applyBorder="1"/>
    <xf numFmtId="0" fontId="16" fillId="10" borderId="13" xfId="0" applyFont="1" applyFill="1" applyBorder="1"/>
    <xf numFmtId="10" fontId="14" fillId="0" borderId="0" xfId="2" applyNumberFormat="1" applyFont="1" applyBorder="1"/>
    <xf numFmtId="0" fontId="14" fillId="0" borderId="13" xfId="0" applyFont="1" applyBorder="1" applyAlignment="1">
      <alignment horizontal="left" indent="2"/>
    </xf>
    <xf numFmtId="173" fontId="14" fillId="0" borderId="0" xfId="4" applyNumberFormat="1" applyFont="1" applyBorder="1"/>
    <xf numFmtId="10" fontId="14" fillId="0" borderId="0" xfId="0" applyNumberFormat="1" applyFont="1" applyBorder="1"/>
    <xf numFmtId="170" fontId="14" fillId="0" borderId="0" xfId="1" applyNumberFormat="1" applyFont="1" applyBorder="1"/>
    <xf numFmtId="0" fontId="14" fillId="10" borderId="13" xfId="0" applyFont="1" applyFill="1" applyBorder="1" applyAlignment="1">
      <alignment horizontal="left" indent="2"/>
    </xf>
    <xf numFmtId="0" fontId="16" fillId="10" borderId="13" xfId="0" applyFont="1" applyFill="1" applyBorder="1" applyAlignment="1">
      <alignment horizontal="left" indent="4"/>
    </xf>
    <xf numFmtId="0" fontId="16" fillId="10" borderId="13" xfId="0" applyFont="1" applyFill="1" applyBorder="1" applyAlignment="1">
      <alignment horizontal="left"/>
    </xf>
    <xf numFmtId="171" fontId="14" fillId="0" borderId="0" xfId="2" applyNumberFormat="1" applyFont="1" applyBorder="1"/>
    <xf numFmtId="9" fontId="14" fillId="0" borderId="0" xfId="0" applyNumberFormat="1" applyFont="1" applyBorder="1"/>
    <xf numFmtId="172" fontId="14" fillId="0" borderId="0" xfId="2" applyNumberFormat="1" applyFont="1" applyBorder="1"/>
    <xf numFmtId="0" fontId="14" fillId="0" borderId="16" xfId="0" applyFont="1" applyBorder="1" applyAlignment="1">
      <alignment horizontal="left" indent="2"/>
    </xf>
    <xf numFmtId="10" fontId="14" fillId="0" borderId="4" xfId="2" applyNumberFormat="1" applyFont="1" applyBorder="1"/>
    <xf numFmtId="165" fontId="0" fillId="0" borderId="0" xfId="0" applyNumberFormat="1"/>
    <xf numFmtId="0" fontId="14" fillId="0" borderId="12" xfId="0" applyFont="1" applyBorder="1"/>
    <xf numFmtId="0" fontId="8" fillId="0" borderId="13" xfId="8" applyFont="1" applyBorder="1"/>
    <xf numFmtId="10" fontId="8" fillId="0" borderId="13" xfId="2" applyNumberFormat="1" applyFont="1" applyBorder="1"/>
    <xf numFmtId="166" fontId="8" fillId="0" borderId="13" xfId="1" applyNumberFormat="1" applyFont="1" applyBorder="1" applyAlignment="1">
      <alignment horizontal="right"/>
    </xf>
    <xf numFmtId="10" fontId="8" fillId="0" borderId="13" xfId="2" applyNumberFormat="1" applyFont="1" applyFill="1" applyBorder="1"/>
    <xf numFmtId="166" fontId="8" fillId="0" borderId="13" xfId="1" applyNumberFormat="1" applyFont="1" applyFill="1" applyBorder="1" applyAlignment="1">
      <alignment horizontal="right"/>
    </xf>
    <xf numFmtId="10" fontId="14" fillId="0" borderId="0" xfId="2" applyNumberFormat="1" applyFont="1" applyFill="1" applyBorder="1" applyProtection="1"/>
    <xf numFmtId="10" fontId="8" fillId="0" borderId="16" xfId="2" applyNumberFormat="1" applyFont="1" applyFill="1" applyBorder="1"/>
    <xf numFmtId="166" fontId="8" fillId="0" borderId="16" xfId="1" applyNumberFormat="1" applyFont="1" applyFill="1" applyBorder="1" applyAlignment="1">
      <alignment horizontal="right"/>
    </xf>
    <xf numFmtId="0" fontId="14" fillId="0" borderId="0" xfId="0" applyFont="1" applyAlignment="1">
      <alignment horizontal="left" indent="4"/>
    </xf>
    <xf numFmtId="10" fontId="14" fillId="0" borderId="0" xfId="2" applyNumberFormat="1" applyFont="1"/>
    <xf numFmtId="0" fontId="8" fillId="0" borderId="0" xfId="8" applyFont="1"/>
    <xf numFmtId="10" fontId="8" fillId="0" borderId="0" xfId="2" applyNumberFormat="1" applyFont="1" applyFill="1"/>
    <xf numFmtId="166" fontId="1" fillId="0" borderId="13" xfId="1" applyNumberFormat="1" applyFont="1" applyBorder="1"/>
    <xf numFmtId="166" fontId="1" fillId="0" borderId="13" xfId="1" applyNumberFormat="1" applyFont="1" applyFill="1" applyBorder="1"/>
    <xf numFmtId="165" fontId="14" fillId="0" borderId="14" xfId="1" applyFont="1" applyFill="1" applyBorder="1" applyProtection="1"/>
    <xf numFmtId="165" fontId="14" fillId="0" borderId="14" xfId="1" applyFont="1" applyFill="1" applyBorder="1" applyAlignment="1" applyProtection="1">
      <alignment horizontal="center"/>
    </xf>
    <xf numFmtId="2" fontId="14" fillId="0" borderId="14" xfId="0" applyNumberFormat="1" applyFont="1" applyBorder="1"/>
    <xf numFmtId="2" fontId="14" fillId="0" borderId="17" xfId="0" applyNumberFormat="1" applyFont="1" applyBorder="1"/>
    <xf numFmtId="2" fontId="8" fillId="0" borderId="14" xfId="8" applyNumberFormat="1" applyFont="1" applyBorder="1"/>
    <xf numFmtId="10" fontId="8" fillId="12" borderId="13" xfId="2" applyNumberFormat="1" applyFont="1" applyFill="1" applyBorder="1"/>
    <xf numFmtId="2" fontId="8" fillId="12" borderId="14" xfId="8" applyNumberFormat="1" applyFont="1" applyFill="1" applyBorder="1"/>
    <xf numFmtId="0" fontId="14" fillId="12" borderId="0" xfId="0" applyFont="1" applyFill="1"/>
    <xf numFmtId="2" fontId="14" fillId="12" borderId="14" xfId="0" applyNumberFormat="1" applyFont="1" applyFill="1" applyBorder="1"/>
    <xf numFmtId="166" fontId="8" fillId="12" borderId="13" xfId="1" applyNumberFormat="1" applyFont="1" applyFill="1" applyBorder="1" applyAlignment="1">
      <alignment horizontal="right"/>
    </xf>
    <xf numFmtId="165" fontId="14" fillId="12" borderId="14" xfId="1" applyFont="1" applyFill="1" applyBorder="1" applyAlignment="1" applyProtection="1">
      <alignment horizontal="center"/>
    </xf>
    <xf numFmtId="166" fontId="1" fillId="12" borderId="13" xfId="1" applyNumberFormat="1" applyFont="1" applyFill="1" applyBorder="1"/>
    <xf numFmtId="165" fontId="14" fillId="12" borderId="14" xfId="1" applyFont="1" applyFill="1" applyBorder="1" applyProtection="1"/>
    <xf numFmtId="0" fontId="14" fillId="13" borderId="0" xfId="0" quotePrefix="1" applyFont="1" applyFill="1" applyAlignment="1">
      <alignment horizontal="center"/>
    </xf>
    <xf numFmtId="10" fontId="8" fillId="13" borderId="16" xfId="2" applyNumberFormat="1" applyFont="1" applyFill="1" applyBorder="1"/>
    <xf numFmtId="2" fontId="8" fillId="13" borderId="17" xfId="8" applyNumberFormat="1" applyFont="1" applyFill="1" applyBorder="1"/>
    <xf numFmtId="0" fontId="14" fillId="13" borderId="0" xfId="0" applyFont="1" applyFill="1"/>
    <xf numFmtId="10" fontId="8" fillId="13" borderId="16" xfId="8" applyNumberFormat="1" applyFont="1" applyFill="1" applyBorder="1"/>
    <xf numFmtId="2" fontId="14" fillId="13" borderId="17" xfId="0" applyNumberFormat="1" applyFont="1" applyFill="1" applyBorder="1"/>
    <xf numFmtId="166" fontId="8" fillId="13" borderId="16" xfId="1" applyNumberFormat="1" applyFont="1" applyFill="1" applyBorder="1" applyAlignment="1">
      <alignment horizontal="right"/>
    </xf>
    <xf numFmtId="165" fontId="14" fillId="13" borderId="17" xfId="1" applyFont="1" applyFill="1" applyBorder="1" applyAlignment="1" applyProtection="1">
      <alignment horizontal="center"/>
    </xf>
    <xf numFmtId="166" fontId="1" fillId="13" borderId="16" xfId="1" applyNumberFormat="1" applyFont="1" applyFill="1" applyBorder="1"/>
    <xf numFmtId="166" fontId="14" fillId="13" borderId="17" xfId="1" applyNumberFormat="1" applyFont="1" applyFill="1" applyBorder="1" applyProtection="1"/>
    <xf numFmtId="0" fontId="14" fillId="12" borderId="0" xfId="0" applyFont="1" applyFill="1" applyAlignment="1">
      <alignment horizontal="center"/>
    </xf>
    <xf numFmtId="9" fontId="14" fillId="14" borderId="0" xfId="0" applyNumberFormat="1" applyFont="1" applyFill="1" applyAlignment="1">
      <alignment horizontal="center"/>
    </xf>
    <xf numFmtId="10" fontId="8" fillId="14" borderId="13" xfId="2" applyNumberFormat="1" applyFont="1" applyFill="1" applyBorder="1"/>
    <xf numFmtId="2" fontId="8" fillId="14" borderId="14" xfId="8" applyNumberFormat="1" applyFont="1" applyFill="1" applyBorder="1"/>
    <xf numFmtId="0" fontId="14" fillId="14" borderId="0" xfId="0" applyFont="1" applyFill="1"/>
    <xf numFmtId="2" fontId="14" fillId="14" borderId="14" xfId="0" applyNumberFormat="1" applyFont="1" applyFill="1" applyBorder="1"/>
    <xf numFmtId="166" fontId="8" fillId="14" borderId="13" xfId="1" applyNumberFormat="1" applyFont="1" applyFill="1" applyBorder="1" applyAlignment="1">
      <alignment horizontal="right"/>
    </xf>
    <xf numFmtId="165" fontId="14" fillId="14" borderId="14" xfId="1" applyFont="1" applyFill="1" applyBorder="1" applyAlignment="1" applyProtection="1">
      <alignment horizontal="center"/>
    </xf>
    <xf numFmtId="166" fontId="1" fillId="14" borderId="13" xfId="1" applyNumberFormat="1" applyFont="1" applyFill="1" applyBorder="1"/>
    <xf numFmtId="165" fontId="14" fillId="14" borderId="14" xfId="1" applyFont="1" applyFill="1" applyBorder="1" applyProtection="1"/>
    <xf numFmtId="165" fontId="8" fillId="15" borderId="14" xfId="8" applyNumberFormat="1" applyFont="1" applyFill="1" applyBorder="1"/>
    <xf numFmtId="165" fontId="14" fillId="15" borderId="14" xfId="0" applyNumberFormat="1" applyFont="1" applyFill="1" applyBorder="1"/>
    <xf numFmtId="165" fontId="14" fillId="0" borderId="11" xfId="0" applyNumberFormat="1" applyFont="1" applyBorder="1"/>
    <xf numFmtId="10" fontId="14" fillId="0" borderId="2" xfId="0" applyNumberFormat="1" applyFont="1" applyBorder="1"/>
    <xf numFmtId="10" fontId="14" fillId="0" borderId="12" xfId="0" applyNumberFormat="1" applyFont="1" applyBorder="1"/>
    <xf numFmtId="165" fontId="14" fillId="0" borderId="13" xfId="0" applyNumberFormat="1" applyFont="1" applyBorder="1"/>
    <xf numFmtId="2" fontId="14" fillId="0" borderId="0" xfId="0" applyNumberFormat="1" applyFont="1" applyBorder="1"/>
    <xf numFmtId="2" fontId="14" fillId="0" borderId="4" xfId="0" applyNumberFormat="1" applyFont="1" applyBorder="1"/>
    <xf numFmtId="165" fontId="14" fillId="0" borderId="0" xfId="1" applyFont="1" applyFill="1" applyBorder="1" applyProtection="1"/>
    <xf numFmtId="165" fontId="14" fillId="0" borderId="4" xfId="1" applyFont="1" applyFill="1" applyBorder="1" applyProtection="1"/>
    <xf numFmtId="165" fontId="14" fillId="0" borderId="17" xfId="1" applyFont="1" applyFill="1" applyBorder="1" applyProtection="1"/>
    <xf numFmtId="2" fontId="0" fillId="0" borderId="0" xfId="1" applyNumberFormat="1" applyFont="1" applyFill="1" applyProtection="1"/>
    <xf numFmtId="165" fontId="0" fillId="0" borderId="0" xfId="1" applyFont="1" applyFill="1" applyProtection="1"/>
    <xf numFmtId="9" fontId="30" fillId="14" borderId="0" xfId="0" applyNumberFormat="1" applyFont="1" applyFill="1" applyAlignment="1">
      <alignment horizontal="center"/>
    </xf>
    <xf numFmtId="0" fontId="30" fillId="13" borderId="0" xfId="0" quotePrefix="1" applyFont="1" applyFill="1" applyAlignment="1">
      <alignment horizontal="center"/>
    </xf>
    <xf numFmtId="0" fontId="30" fillId="12" borderId="0" xfId="0" applyFont="1" applyFill="1" applyAlignment="1">
      <alignment horizontal="center"/>
    </xf>
    <xf numFmtId="0" fontId="14" fillId="0" borderId="0" xfId="0" applyFont="1" applyAlignment="1">
      <alignment vertical="top" wrapText="1"/>
    </xf>
    <xf numFmtId="0" fontId="8" fillId="0" borderId="0" xfId="11" applyFont="1"/>
    <xf numFmtId="0" fontId="32" fillId="0" borderId="10" xfId="11" applyFont="1" applyBorder="1"/>
    <xf numFmtId="0" fontId="33" fillId="0" borderId="10" xfId="11" applyFont="1" applyBorder="1"/>
    <xf numFmtId="166" fontId="32" fillId="0" borderId="10" xfId="1" applyNumberFormat="1" applyFont="1" applyBorder="1"/>
    <xf numFmtId="166" fontId="8" fillId="0" borderId="0" xfId="1" applyNumberFormat="1" applyFont="1"/>
    <xf numFmtId="2" fontId="8" fillId="0" borderId="0" xfId="11" applyNumberFormat="1" applyFont="1"/>
    <xf numFmtId="165" fontId="8" fillId="0" borderId="0" xfId="1" applyFont="1"/>
    <xf numFmtId="0" fontId="9" fillId="0" borderId="0" xfId="11" applyFont="1"/>
    <xf numFmtId="2" fontId="9" fillId="0" borderId="2" xfId="11" applyNumberFormat="1" applyFont="1" applyBorder="1"/>
    <xf numFmtId="165" fontId="9" fillId="0" borderId="3" xfId="11" applyNumberFormat="1" applyFont="1" applyBorder="1"/>
    <xf numFmtId="0" fontId="28" fillId="8" borderId="0" xfId="11" applyFont="1" applyFill="1"/>
    <xf numFmtId="167" fontId="18" fillId="0" borderId="0" xfId="1" applyNumberFormat="1" applyFont="1" applyFill="1" applyAlignment="1"/>
    <xf numFmtId="166" fontId="14" fillId="0" borderId="20" xfId="1" applyNumberFormat="1" applyFont="1" applyBorder="1" applyAlignment="1">
      <alignment horizontal="right" vertical="center" wrapText="1"/>
    </xf>
    <xf numFmtId="166" fontId="20" fillId="0" borderId="21" xfId="1" applyNumberFormat="1" applyFont="1" applyFill="1" applyBorder="1" applyProtection="1"/>
    <xf numFmtId="0" fontId="19" fillId="6" borderId="0" xfId="1" applyNumberFormat="1" applyFont="1" applyFill="1" applyAlignment="1">
      <alignment horizontal="center"/>
    </xf>
    <xf numFmtId="0" fontId="19" fillId="7" borderId="0" xfId="1" applyNumberFormat="1" applyFont="1" applyFill="1" applyAlignment="1">
      <alignment horizontal="center" vertical="center"/>
    </xf>
    <xf numFmtId="0" fontId="30" fillId="4" borderId="0" xfId="3" applyFont="1" applyFill="1"/>
    <xf numFmtId="0" fontId="29" fillId="0" borderId="0" xfId="3" applyFont="1"/>
    <xf numFmtId="0" fontId="14" fillId="0" borderId="0" xfId="0" applyFont="1" applyAlignment="1">
      <alignment horizontal="centerContinuous" vertical="top" wrapText="1"/>
    </xf>
    <xf numFmtId="0" fontId="14" fillId="0" borderId="0" xfId="0" applyFont="1" applyAlignment="1">
      <alignment horizontal="left" vertical="top"/>
    </xf>
    <xf numFmtId="0" fontId="28" fillId="16" borderId="0" xfId="0" applyFont="1" applyFill="1"/>
    <xf numFmtId="0" fontId="30" fillId="16" borderId="0" xfId="0" applyFont="1" applyFill="1"/>
    <xf numFmtId="0" fontId="14" fillId="0" borderId="16" xfId="0" applyFont="1" applyBorder="1"/>
    <xf numFmtId="166" fontId="14" fillId="0" borderId="0" xfId="1" applyNumberFormat="1" applyFont="1" applyFill="1" applyAlignment="1" applyProtection="1">
      <alignment horizontal="left" indent="2"/>
    </xf>
    <xf numFmtId="166" fontId="16" fillId="0" borderId="0" xfId="1" applyNumberFormat="1" applyFont="1" applyFill="1" applyAlignment="1" applyProtection="1">
      <alignment horizontal="left"/>
    </xf>
    <xf numFmtId="166" fontId="14" fillId="0" borderId="0" xfId="1" applyNumberFormat="1" applyFont="1" applyFill="1" applyAlignment="1" applyProtection="1">
      <alignment horizontal="left"/>
    </xf>
    <xf numFmtId="0" fontId="29" fillId="0" borderId="14" xfId="3" applyFont="1" applyBorder="1"/>
    <xf numFmtId="0" fontId="29" fillId="0" borderId="13" xfId="3" applyFont="1" applyBorder="1"/>
    <xf numFmtId="0" fontId="8" fillId="0" borderId="0" xfId="3" applyFont="1"/>
    <xf numFmtId="0" fontId="29" fillId="0" borderId="16" xfId="3" applyFont="1" applyBorder="1"/>
    <xf numFmtId="0" fontId="29" fillId="0" borderId="4" xfId="3" applyFont="1" applyBorder="1"/>
    <xf numFmtId="0" fontId="29" fillId="0" borderId="17" xfId="3" applyFont="1" applyBorder="1"/>
    <xf numFmtId="0" fontId="35" fillId="0" borderId="13" xfId="12" applyFont="1" applyFill="1" applyBorder="1"/>
    <xf numFmtId="1" fontId="8" fillId="4" borderId="0" xfId="3" applyNumberFormat="1" applyFont="1" applyFill="1"/>
    <xf numFmtId="1" fontId="29" fillId="0" borderId="14" xfId="3" applyNumberFormat="1" applyFont="1" applyBorder="1"/>
    <xf numFmtId="0" fontId="14" fillId="0" borderId="0" xfId="0" applyFont="1" applyAlignment="1">
      <alignment vertical="justify" wrapText="1"/>
    </xf>
    <xf numFmtId="167" fontId="18" fillId="8" borderId="0" xfId="1" applyNumberFormat="1" applyFont="1" applyFill="1" applyAlignment="1">
      <alignment horizontal="left"/>
    </xf>
    <xf numFmtId="0" fontId="36" fillId="0" borderId="13" xfId="3" applyFont="1" applyBorder="1"/>
    <xf numFmtId="165" fontId="35" fillId="0" borderId="13" xfId="12" applyNumberFormat="1" applyFont="1" applyFill="1" applyBorder="1"/>
    <xf numFmtId="0" fontId="37" fillId="0" borderId="0" xfId="3" applyFont="1"/>
    <xf numFmtId="0" fontId="38" fillId="0" borderId="13" xfId="3" applyFont="1" applyBorder="1"/>
    <xf numFmtId="0" fontId="39" fillId="0" borderId="13" xfId="3" applyFont="1" applyBorder="1" applyAlignment="1">
      <alignment horizontal="left" indent="6"/>
    </xf>
    <xf numFmtId="10" fontId="8" fillId="4" borderId="0" xfId="3" applyNumberFormat="1" applyFont="1" applyFill="1"/>
    <xf numFmtId="9" fontId="8" fillId="4" borderId="0" xfId="3" applyNumberFormat="1" applyFont="1" applyFill="1"/>
    <xf numFmtId="174" fontId="8" fillId="4" borderId="0" xfId="3" applyNumberFormat="1" applyFont="1" applyFill="1"/>
    <xf numFmtId="166" fontId="8" fillId="4" borderId="0" xfId="1" applyNumberFormat="1" applyFont="1" applyFill="1"/>
    <xf numFmtId="165" fontId="8" fillId="4" borderId="0" xfId="3" applyNumberFormat="1" applyFont="1" applyFill="1"/>
    <xf numFmtId="168" fontId="8" fillId="4" borderId="0" xfId="2" applyNumberFormat="1" applyFont="1" applyFill="1"/>
    <xf numFmtId="10" fontId="8" fillId="4" borderId="0" xfId="2" applyNumberFormat="1" applyFont="1" applyFill="1"/>
    <xf numFmtId="2" fontId="36" fillId="0" borderId="13" xfId="2" applyNumberFormat="1" applyFont="1" applyFill="1" applyBorder="1"/>
    <xf numFmtId="2" fontId="8" fillId="4" borderId="0" xfId="3" applyNumberFormat="1" applyFont="1" applyFill="1"/>
    <xf numFmtId="1" fontId="8" fillId="4" borderId="0" xfId="1" applyNumberFormat="1" applyFont="1" applyFill="1"/>
    <xf numFmtId="0" fontId="38" fillId="0" borderId="13" xfId="3" applyFont="1" applyBorder="1" applyAlignment="1">
      <alignment horizontal="left"/>
    </xf>
    <xf numFmtId="0" fontId="36" fillId="0" borderId="13" xfId="3" applyFont="1" applyBorder="1" applyAlignment="1">
      <alignment horizontal="left"/>
    </xf>
    <xf numFmtId="0" fontId="14" fillId="0" borderId="8" xfId="0" applyFont="1" applyBorder="1" applyAlignment="1">
      <alignment horizontal="left" vertical="justify" wrapText="1"/>
    </xf>
    <xf numFmtId="0" fontId="29" fillId="0" borderId="26" xfId="3" applyFont="1" applyBorder="1"/>
    <xf numFmtId="1" fontId="29" fillId="0" borderId="27" xfId="3" applyNumberFormat="1" applyFont="1" applyBorder="1"/>
    <xf numFmtId="1" fontId="29" fillId="0" borderId="17" xfId="3" applyNumberFormat="1" applyFont="1" applyBorder="1"/>
    <xf numFmtId="167" fontId="29" fillId="0" borderId="26" xfId="1" applyNumberFormat="1" applyFont="1" applyFill="1" applyBorder="1" applyAlignment="1">
      <alignment vertical="top" wrapText="1"/>
    </xf>
    <xf numFmtId="167" fontId="29" fillId="0" borderId="27" xfId="1" applyNumberFormat="1" applyFont="1" applyFill="1" applyBorder="1" applyAlignment="1">
      <alignment vertical="top" wrapText="1"/>
    </xf>
    <xf numFmtId="0" fontId="40" fillId="0" borderId="13" xfId="3" applyFont="1" applyBorder="1"/>
    <xf numFmtId="0" fontId="26" fillId="9" borderId="10" xfId="7" applyFont="1" applyFill="1" applyBorder="1" applyAlignment="1">
      <alignment horizontal="left"/>
    </xf>
    <xf numFmtId="166" fontId="14" fillId="0" borderId="28" xfId="1" applyNumberFormat="1" applyFont="1" applyBorder="1" applyAlignment="1">
      <alignment horizontal="right" vertical="center" wrapText="1"/>
    </xf>
    <xf numFmtId="0" fontId="14" fillId="0" borderId="0" xfId="0" applyFont="1" applyBorder="1" applyAlignment="1">
      <alignment horizontal="left" vertical="center" wrapText="1" indent="2"/>
    </xf>
    <xf numFmtId="0" fontId="16" fillId="0" borderId="0" xfId="0" applyFont="1" applyBorder="1"/>
    <xf numFmtId="0" fontId="42" fillId="0" borderId="16" xfId="0" applyFont="1" applyBorder="1" applyAlignment="1">
      <alignment vertical="center"/>
    </xf>
    <xf numFmtId="0" fontId="42" fillId="0" borderId="4" xfId="0" applyFont="1" applyBorder="1" applyAlignment="1">
      <alignment vertical="center"/>
    </xf>
    <xf numFmtId="0" fontId="42" fillId="0" borderId="17" xfId="0" applyFont="1" applyBorder="1" applyAlignment="1">
      <alignment vertical="center"/>
    </xf>
    <xf numFmtId="0" fontId="29" fillId="0" borderId="2" xfId="3" applyFont="1" applyBorder="1"/>
    <xf numFmtId="0" fontId="29" fillId="0" borderId="12" xfId="3" applyFont="1" applyBorder="1"/>
    <xf numFmtId="0" fontId="35" fillId="0" borderId="11" xfId="12" applyFont="1" applyFill="1" applyBorder="1"/>
    <xf numFmtId="1" fontId="29" fillId="0" borderId="12" xfId="3" applyNumberFormat="1" applyFont="1" applyBorder="1"/>
    <xf numFmtId="0" fontId="28" fillId="5" borderId="16" xfId="3" applyFont="1" applyFill="1" applyBorder="1" applyAlignment="1">
      <alignment horizontal="left"/>
    </xf>
    <xf numFmtId="0" fontId="37" fillId="0" borderId="4" xfId="3" applyFont="1" applyBorder="1"/>
    <xf numFmtId="0" fontId="40" fillId="0" borderId="16" xfId="3" applyFont="1" applyBorder="1"/>
    <xf numFmtId="167" fontId="43" fillId="5" borderId="12" xfId="1" applyNumberFormat="1" applyFont="1" applyFill="1" applyBorder="1" applyAlignment="1">
      <alignment vertical="top" wrapText="1"/>
    </xf>
    <xf numFmtId="165" fontId="45" fillId="0" borderId="13" xfId="12" applyNumberFormat="1" applyFont="1" applyFill="1" applyBorder="1"/>
    <xf numFmtId="0" fontId="45" fillId="0" borderId="13" xfId="12" applyFont="1" applyFill="1" applyBorder="1"/>
    <xf numFmtId="0" fontId="46" fillId="0" borderId="0" xfId="7" applyFont="1"/>
    <xf numFmtId="0" fontId="47" fillId="0" borderId="0" xfId="7" applyFont="1"/>
    <xf numFmtId="0" fontId="48" fillId="0" borderId="0" xfId="7" applyFont="1"/>
    <xf numFmtId="165" fontId="14" fillId="0" borderId="0" xfId="1" applyFont="1" applyFill="1" applyAlignment="1" applyProtection="1"/>
    <xf numFmtId="0" fontId="14" fillId="0" borderId="0" xfId="0" applyFont="1" applyBorder="1" applyAlignment="1">
      <alignment horizontal="left" vertical="justify" wrapText="1"/>
    </xf>
    <xf numFmtId="0" fontId="50" fillId="0" borderId="0" xfId="0" applyFont="1" applyAlignment="1">
      <alignment horizontal="justify" vertical="justify" wrapText="1"/>
    </xf>
    <xf numFmtId="0" fontId="14" fillId="0" borderId="26" xfId="0" applyFont="1" applyBorder="1"/>
    <xf numFmtId="0" fontId="14" fillId="0" borderId="30" xfId="0" applyFont="1" applyBorder="1"/>
    <xf numFmtId="0" fontId="14" fillId="0" borderId="32" xfId="0" applyFont="1" applyBorder="1"/>
    <xf numFmtId="0" fontId="14" fillId="0" borderId="8" xfId="0" applyFont="1" applyBorder="1"/>
    <xf numFmtId="0" fontId="14" fillId="0" borderId="34" xfId="0" applyFont="1" applyBorder="1"/>
    <xf numFmtId="0" fontId="14" fillId="19" borderId="26" xfId="0" applyFont="1" applyFill="1" applyBorder="1"/>
    <xf numFmtId="0" fontId="14" fillId="19" borderId="31" xfId="0" applyFont="1" applyFill="1" applyBorder="1"/>
    <xf numFmtId="0" fontId="14" fillId="19" borderId="0" xfId="0" applyFont="1" applyFill="1" applyBorder="1"/>
    <xf numFmtId="0" fontId="14" fillId="19" borderId="33" xfId="0" applyFont="1" applyFill="1" applyBorder="1"/>
    <xf numFmtId="0" fontId="14" fillId="19" borderId="8" xfId="0" applyFont="1" applyFill="1" applyBorder="1"/>
    <xf numFmtId="0" fontId="14" fillId="20" borderId="26" xfId="0" applyFont="1" applyFill="1" applyBorder="1"/>
    <xf numFmtId="0" fontId="14" fillId="20" borderId="31" xfId="0" applyFont="1" applyFill="1" applyBorder="1"/>
    <xf numFmtId="0" fontId="14" fillId="20" borderId="0" xfId="0" applyFont="1" applyFill="1" applyBorder="1"/>
    <xf numFmtId="0" fontId="14" fillId="20" borderId="33" xfId="0" applyFont="1" applyFill="1" applyBorder="1"/>
    <xf numFmtId="0" fontId="14" fillId="20" borderId="8" xfId="0" applyFont="1" applyFill="1" applyBorder="1"/>
    <xf numFmtId="0" fontId="14" fillId="21" borderId="26" xfId="0" applyFont="1" applyFill="1" applyBorder="1"/>
    <xf numFmtId="0" fontId="14" fillId="21" borderId="31" xfId="0" applyFont="1" applyFill="1" applyBorder="1"/>
    <xf numFmtId="0" fontId="14" fillId="21" borderId="0" xfId="0" applyFont="1" applyFill="1" applyBorder="1"/>
    <xf numFmtId="0" fontId="14" fillId="21" borderId="33" xfId="0" applyFont="1" applyFill="1" applyBorder="1"/>
    <xf numFmtId="0" fontId="14" fillId="21" borderId="8" xfId="0" applyFont="1" applyFill="1" applyBorder="1"/>
    <xf numFmtId="0" fontId="14" fillId="14" borderId="26" xfId="0" applyFont="1" applyFill="1" applyBorder="1"/>
    <xf numFmtId="0" fontId="14" fillId="14" borderId="31" xfId="0" applyFont="1" applyFill="1" applyBorder="1"/>
    <xf numFmtId="0" fontId="14" fillId="14" borderId="0" xfId="0" applyFont="1" applyFill="1" applyBorder="1"/>
    <xf numFmtId="0" fontId="14" fillId="14" borderId="33" xfId="0" applyFont="1" applyFill="1" applyBorder="1"/>
    <xf numFmtId="0" fontId="14" fillId="14" borderId="8" xfId="0" applyFont="1" applyFill="1" applyBorder="1"/>
    <xf numFmtId="0" fontId="14" fillId="22" borderId="26" xfId="0" applyFont="1" applyFill="1" applyBorder="1"/>
    <xf numFmtId="0" fontId="14" fillId="22" borderId="31" xfId="0" applyFont="1" applyFill="1" applyBorder="1"/>
    <xf numFmtId="0" fontId="14" fillId="22" borderId="0" xfId="0" applyFont="1" applyFill="1" applyBorder="1"/>
    <xf numFmtId="0" fontId="14" fillId="22" borderId="33" xfId="0" applyFont="1" applyFill="1" applyBorder="1"/>
    <xf numFmtId="0" fontId="14" fillId="22" borderId="8" xfId="0" applyFont="1" applyFill="1" applyBorder="1"/>
    <xf numFmtId="0" fontId="14" fillId="9" borderId="26" xfId="0" applyFont="1" applyFill="1" applyBorder="1"/>
    <xf numFmtId="0" fontId="14" fillId="9" borderId="31" xfId="0" applyFont="1" applyFill="1" applyBorder="1"/>
    <xf numFmtId="0" fontId="14" fillId="9" borderId="0" xfId="0" applyFont="1" applyFill="1" applyBorder="1"/>
    <xf numFmtId="0" fontId="14" fillId="9" borderId="33" xfId="0" applyFont="1" applyFill="1" applyBorder="1"/>
    <xf numFmtId="0" fontId="14" fillId="9" borderId="8" xfId="0" applyFont="1" applyFill="1" applyBorder="1"/>
    <xf numFmtId="2" fontId="14" fillId="0" borderId="0" xfId="2" applyNumberFormat="1" applyFont="1" applyFill="1" applyAlignment="1" applyProtection="1"/>
    <xf numFmtId="165" fontId="20" fillId="0" borderId="0" xfId="1" applyFont="1" applyFill="1" applyAlignment="1" applyProtection="1"/>
    <xf numFmtId="2" fontId="20" fillId="0" borderId="0" xfId="2" applyNumberFormat="1" applyFont="1" applyFill="1" applyAlignment="1" applyProtection="1"/>
    <xf numFmtId="0" fontId="35" fillId="4" borderId="0" xfId="12" applyFont="1" applyFill="1"/>
    <xf numFmtId="0" fontId="52" fillId="0" borderId="13" xfId="12" applyFont="1" applyFill="1" applyBorder="1"/>
    <xf numFmtId="0" fontId="52" fillId="0" borderId="25" xfId="12" applyFont="1" applyFill="1" applyBorder="1"/>
    <xf numFmtId="0" fontId="37" fillId="22" borderId="0" xfId="3" applyFont="1" applyFill="1"/>
    <xf numFmtId="0" fontId="53" fillId="22" borderId="13" xfId="3" applyFont="1" applyFill="1" applyBorder="1" applyAlignment="1">
      <alignment horizontal="left"/>
    </xf>
    <xf numFmtId="166" fontId="20" fillId="0" borderId="0" xfId="1" applyNumberFormat="1" applyFont="1" applyFill="1" applyBorder="1" applyProtection="1"/>
    <xf numFmtId="166" fontId="20" fillId="0" borderId="5" xfId="1" applyNumberFormat="1" applyFont="1" applyFill="1" applyBorder="1" applyProtection="1"/>
    <xf numFmtId="166" fontId="20" fillId="0" borderId="6" xfId="1" applyNumberFormat="1" applyFont="1" applyFill="1" applyBorder="1" applyProtection="1"/>
    <xf numFmtId="166" fontId="20" fillId="0" borderId="7" xfId="1" applyNumberFormat="1" applyFont="1" applyFill="1" applyBorder="1" applyProtection="1"/>
    <xf numFmtId="166" fontId="14" fillId="0" borderId="5" xfId="1" applyNumberFormat="1" applyFont="1" applyFill="1" applyBorder="1" applyProtection="1"/>
    <xf numFmtId="166" fontId="14" fillId="0" borderId="6" xfId="1" applyNumberFormat="1" applyFont="1" applyFill="1" applyBorder="1" applyProtection="1"/>
    <xf numFmtId="166" fontId="14" fillId="0" borderId="7" xfId="1" applyNumberFormat="1" applyFont="1" applyFill="1" applyBorder="1" applyProtection="1"/>
    <xf numFmtId="166" fontId="14" fillId="0" borderId="5" xfId="1" applyNumberFormat="1" applyFont="1" applyFill="1" applyBorder="1" applyAlignment="1" applyProtection="1">
      <alignment horizontal="left" indent="2"/>
    </xf>
    <xf numFmtId="166" fontId="14" fillId="0" borderId="6" xfId="1" applyNumberFormat="1" applyFont="1" applyFill="1" applyBorder="1" applyAlignment="1" applyProtection="1">
      <alignment horizontal="left" indent="2"/>
    </xf>
    <xf numFmtId="166" fontId="14" fillId="0" borderId="7" xfId="1" applyNumberFormat="1" applyFont="1" applyFill="1" applyBorder="1" applyAlignment="1" applyProtection="1">
      <alignment horizontal="left" indent="2"/>
    </xf>
    <xf numFmtId="167" fontId="44" fillId="5" borderId="13" xfId="1" applyNumberFormat="1" applyFont="1" applyFill="1" applyBorder="1" applyAlignment="1">
      <alignment vertical="justify"/>
    </xf>
    <xf numFmtId="167" fontId="44" fillId="5" borderId="0" xfId="1" applyNumberFormat="1" applyFont="1" applyFill="1" applyBorder="1" applyAlignment="1">
      <alignment vertical="justify"/>
    </xf>
    <xf numFmtId="167" fontId="55" fillId="18" borderId="11" xfId="1" applyNumberFormat="1" applyFont="1" applyFill="1" applyBorder="1" applyAlignment="1">
      <alignment horizontal="left" vertical="top" wrapText="1"/>
    </xf>
    <xf numFmtId="167" fontId="55" fillId="18" borderId="2" xfId="1" applyNumberFormat="1" applyFont="1" applyFill="1" applyBorder="1" applyAlignment="1">
      <alignment horizontal="left" vertical="top" wrapText="1"/>
    </xf>
    <xf numFmtId="0" fontId="54" fillId="0" borderId="13" xfId="3" applyFont="1" applyBorder="1" applyAlignment="1">
      <alignment horizontal="left" vertical="top" wrapText="1"/>
    </xf>
    <xf numFmtId="0" fontId="54" fillId="0" borderId="0" xfId="3" applyFont="1" applyAlignment="1">
      <alignment horizontal="left" vertical="top" wrapText="1"/>
    </xf>
    <xf numFmtId="0" fontId="54" fillId="0" borderId="14" xfId="3" applyFont="1" applyBorder="1" applyAlignment="1">
      <alignment horizontal="left" vertical="top" wrapText="1"/>
    </xf>
    <xf numFmtId="0" fontId="29" fillId="0" borderId="0" xfId="3" applyFont="1" applyAlignment="1">
      <alignment horizontal="justify" vertical="justify" wrapText="1"/>
    </xf>
    <xf numFmtId="0" fontId="18" fillId="17" borderId="22" xfId="0" applyFont="1" applyFill="1" applyBorder="1" applyAlignment="1">
      <alignment horizontal="center" vertical="justify"/>
    </xf>
    <xf numFmtId="0" fontId="18" fillId="17" borderId="23" xfId="0" applyFont="1" applyFill="1" applyBorder="1" applyAlignment="1">
      <alignment horizontal="center" vertical="justify"/>
    </xf>
    <xf numFmtId="0" fontId="18" fillId="17" borderId="24" xfId="0" applyFont="1" applyFill="1" applyBorder="1" applyAlignment="1">
      <alignment horizontal="center" vertical="justify"/>
    </xf>
    <xf numFmtId="0" fontId="14" fillId="0" borderId="0" xfId="0" applyFont="1" applyAlignment="1">
      <alignment horizontal="justify" vertical="justify" wrapText="1"/>
    </xf>
    <xf numFmtId="0" fontId="14" fillId="0" borderId="0" xfId="0" applyFont="1" applyBorder="1" applyAlignment="1">
      <alignment horizontal="justify" vertical="justify" wrapText="1"/>
    </xf>
    <xf numFmtId="167" fontId="55" fillId="18" borderId="25" xfId="1" applyNumberFormat="1" applyFont="1" applyFill="1" applyBorder="1" applyAlignment="1">
      <alignment horizontal="left" vertical="top" wrapText="1"/>
    </xf>
    <xf numFmtId="167" fontId="55" fillId="18" borderId="26" xfId="1" applyNumberFormat="1" applyFont="1" applyFill="1" applyBorder="1" applyAlignment="1">
      <alignment horizontal="left" vertical="top" wrapText="1"/>
    </xf>
    <xf numFmtId="167" fontId="29" fillId="0" borderId="13" xfId="1" applyNumberFormat="1" applyFont="1" applyFill="1" applyBorder="1" applyAlignment="1">
      <alignment horizontal="left" vertical="top" wrapText="1"/>
    </xf>
    <xf numFmtId="167" fontId="29" fillId="0" borderId="0" xfId="1" applyNumberFormat="1" applyFont="1" applyFill="1" applyBorder="1" applyAlignment="1">
      <alignment horizontal="left" vertical="top" wrapText="1"/>
    </xf>
    <xf numFmtId="167" fontId="29" fillId="0" borderId="14" xfId="1" applyNumberFormat="1" applyFont="1" applyFill="1" applyBorder="1" applyAlignment="1">
      <alignment horizontal="left" vertical="top" wrapText="1"/>
    </xf>
    <xf numFmtId="0" fontId="29" fillId="0" borderId="13" xfId="3" applyFont="1" applyBorder="1" applyAlignment="1">
      <alignment horizontal="justify" vertical="justify" wrapText="1"/>
    </xf>
    <xf numFmtId="0" fontId="29" fillId="0" borderId="14" xfId="3" applyFont="1" applyBorder="1" applyAlignment="1">
      <alignment horizontal="justify" vertical="justify" wrapText="1"/>
    </xf>
    <xf numFmtId="167" fontId="44" fillId="5" borderId="13" xfId="1" applyNumberFormat="1" applyFont="1" applyFill="1" applyBorder="1" applyAlignment="1">
      <alignment horizontal="left" vertical="justify"/>
    </xf>
    <xf numFmtId="167" fontId="44" fillId="5" borderId="0" xfId="1" applyNumberFormat="1" applyFont="1" applyFill="1" applyBorder="1" applyAlignment="1">
      <alignment horizontal="left" vertical="justify"/>
    </xf>
    <xf numFmtId="167" fontId="44" fillId="5" borderId="14" xfId="1" applyNumberFormat="1" applyFont="1" applyFill="1" applyBorder="1" applyAlignment="1">
      <alignment horizontal="left" vertical="justify"/>
    </xf>
    <xf numFmtId="167" fontId="28" fillId="7" borderId="0" xfId="1" applyNumberFormat="1" applyFont="1" applyFill="1" applyAlignment="1">
      <alignment horizontal="center"/>
    </xf>
    <xf numFmtId="0" fontId="14" fillId="0" borderId="11" xfId="0" applyFont="1" applyBorder="1" applyAlignment="1">
      <alignment horizontal="left" vertical="top" wrapText="1"/>
    </xf>
    <xf numFmtId="0" fontId="14" fillId="0" borderId="2" xfId="0" applyFont="1" applyBorder="1" applyAlignment="1">
      <alignment horizontal="left" vertical="top" wrapText="1"/>
    </xf>
    <xf numFmtId="0" fontId="14" fillId="0" borderId="12" xfId="0" applyFont="1" applyBorder="1" applyAlignment="1">
      <alignment horizontal="left" vertical="top" wrapText="1"/>
    </xf>
    <xf numFmtId="0" fontId="14" fillId="0" borderId="13" xfId="0" applyFont="1" applyBorder="1" applyAlignment="1">
      <alignment horizontal="left" vertical="top" wrapText="1"/>
    </xf>
    <xf numFmtId="0" fontId="14" fillId="0" borderId="0" xfId="0" applyFont="1" applyBorder="1" applyAlignment="1">
      <alignment horizontal="left" vertical="top" wrapText="1"/>
    </xf>
    <xf numFmtId="0" fontId="14" fillId="0" borderId="14" xfId="0" applyFont="1" applyBorder="1" applyAlignment="1">
      <alignment horizontal="left" vertical="top" wrapText="1"/>
    </xf>
    <xf numFmtId="0" fontId="14" fillId="0" borderId="16" xfId="0" applyFont="1" applyBorder="1" applyAlignment="1">
      <alignment horizontal="left" vertical="top" wrapText="1"/>
    </xf>
    <xf numFmtId="0" fontId="14" fillId="0" borderId="4" xfId="0" applyFont="1" applyBorder="1" applyAlignment="1">
      <alignment horizontal="left" vertical="top" wrapText="1"/>
    </xf>
    <xf numFmtId="0" fontId="14" fillId="0" borderId="17" xfId="0" applyFont="1" applyBorder="1" applyAlignment="1">
      <alignment horizontal="left" vertical="top" wrapText="1"/>
    </xf>
    <xf numFmtId="0" fontId="14" fillId="0" borderId="0" xfId="0" applyFont="1" applyAlignment="1">
      <alignment horizontal="left" vertical="top" wrapText="1"/>
    </xf>
    <xf numFmtId="167" fontId="13" fillId="7" borderId="0" xfId="1" applyNumberFormat="1" applyFont="1" applyFill="1" applyBorder="1" applyAlignment="1">
      <alignment horizontal="center" vertical="center" wrapText="1"/>
    </xf>
    <xf numFmtId="0" fontId="30" fillId="8" borderId="11" xfId="8" applyFont="1" applyFill="1" applyBorder="1" applyAlignment="1">
      <alignment horizontal="center"/>
    </xf>
    <xf numFmtId="0" fontId="30" fillId="8" borderId="2" xfId="8" applyFont="1" applyFill="1" applyBorder="1" applyAlignment="1">
      <alignment horizontal="center"/>
    </xf>
    <xf numFmtId="0" fontId="30" fillId="8" borderId="12" xfId="8" applyFont="1" applyFill="1" applyBorder="1" applyAlignment="1">
      <alignment horizontal="center"/>
    </xf>
    <xf numFmtId="0" fontId="31" fillId="8" borderId="0" xfId="0" applyFont="1" applyFill="1" applyAlignment="1">
      <alignment horizontal="center"/>
    </xf>
    <xf numFmtId="0" fontId="14" fillId="0" borderId="18" xfId="0" applyFont="1" applyBorder="1" applyAlignment="1">
      <alignment horizontal="left" vertical="top" wrapText="1"/>
    </xf>
    <xf numFmtId="0" fontId="14" fillId="0" borderId="1" xfId="0" applyFont="1" applyBorder="1" applyAlignment="1">
      <alignment horizontal="left" vertical="top" wrapText="1"/>
    </xf>
    <xf numFmtId="0" fontId="14" fillId="0" borderId="19" xfId="0" applyFont="1" applyBorder="1" applyAlignment="1">
      <alignment horizontal="left" vertical="top" wrapText="1"/>
    </xf>
    <xf numFmtId="0" fontId="30" fillId="8" borderId="18" xfId="8" applyFont="1" applyFill="1" applyBorder="1" applyAlignment="1">
      <alignment horizontal="center" wrapText="1"/>
    </xf>
    <xf numFmtId="0" fontId="30" fillId="8" borderId="19" xfId="8" applyFont="1" applyFill="1" applyBorder="1" applyAlignment="1">
      <alignment horizontal="center" wrapText="1"/>
    </xf>
    <xf numFmtId="167" fontId="18" fillId="7" borderId="11" xfId="1" applyNumberFormat="1" applyFont="1" applyFill="1" applyBorder="1" applyAlignment="1">
      <alignment horizontal="center"/>
    </xf>
    <xf numFmtId="167" fontId="18" fillId="7" borderId="2" xfId="1" applyNumberFormat="1" applyFont="1" applyFill="1" applyBorder="1" applyAlignment="1">
      <alignment horizontal="center"/>
    </xf>
    <xf numFmtId="167" fontId="18" fillId="7" borderId="11" xfId="1" applyNumberFormat="1" applyFont="1" applyFill="1" applyBorder="1" applyAlignment="1">
      <alignment horizontal="center" wrapText="1"/>
    </xf>
    <xf numFmtId="167" fontId="18" fillId="7" borderId="2" xfId="1" applyNumberFormat="1" applyFont="1" applyFill="1" applyBorder="1" applyAlignment="1">
      <alignment horizontal="center" wrapText="1"/>
    </xf>
    <xf numFmtId="167" fontId="18" fillId="7" borderId="12" xfId="1" applyNumberFormat="1" applyFont="1" applyFill="1" applyBorder="1" applyAlignment="1">
      <alignment horizontal="center" wrapText="1"/>
    </xf>
    <xf numFmtId="167" fontId="18" fillId="7" borderId="18" xfId="1" applyNumberFormat="1" applyFont="1" applyFill="1" applyBorder="1" applyAlignment="1">
      <alignment horizontal="left"/>
    </xf>
    <xf numFmtId="167" fontId="18" fillId="7" borderId="1" xfId="1" applyNumberFormat="1" applyFont="1" applyFill="1" applyBorder="1" applyAlignment="1">
      <alignment horizontal="left"/>
    </xf>
    <xf numFmtId="167" fontId="18" fillId="8" borderId="11" xfId="1" applyNumberFormat="1" applyFont="1" applyFill="1" applyBorder="1" applyAlignment="1">
      <alignment horizontal="center"/>
    </xf>
    <xf numFmtId="167" fontId="18" fillId="8" borderId="2" xfId="1" applyNumberFormat="1" applyFont="1" applyFill="1" applyBorder="1" applyAlignment="1">
      <alignment horizontal="center"/>
    </xf>
    <xf numFmtId="0" fontId="31" fillId="8" borderId="0" xfId="0" applyFont="1" applyFill="1" applyAlignment="1">
      <alignment horizontal="center" wrapText="1"/>
    </xf>
    <xf numFmtId="0" fontId="30" fillId="8" borderId="18" xfId="8" applyFont="1" applyFill="1" applyBorder="1" applyAlignment="1">
      <alignment horizontal="center"/>
    </xf>
    <xf numFmtId="0" fontId="30" fillId="8" borderId="1" xfId="8" applyFont="1" applyFill="1" applyBorder="1" applyAlignment="1">
      <alignment horizontal="center"/>
    </xf>
    <xf numFmtId="0" fontId="30" fillId="8" borderId="2" xfId="8" applyFont="1" applyFill="1" applyBorder="1" applyAlignment="1">
      <alignment horizontal="center" vertical="center"/>
    </xf>
    <xf numFmtId="0" fontId="30" fillId="8" borderId="0" xfId="8" applyFont="1" applyFill="1" applyAlignment="1">
      <alignment horizontal="center" vertical="center"/>
    </xf>
    <xf numFmtId="0" fontId="0" fillId="0" borderId="11" xfId="0" applyBorder="1" applyAlignment="1">
      <alignment horizontal="left" vertical="top" wrapText="1"/>
    </xf>
    <xf numFmtId="0" fontId="0" fillId="0" borderId="2"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0" xfId="0" applyBorder="1" applyAlignment="1">
      <alignment horizontal="left" vertical="top" wrapText="1"/>
    </xf>
    <xf numFmtId="0" fontId="0" fillId="0" borderId="14" xfId="0" applyBorder="1" applyAlignment="1">
      <alignment horizontal="left" vertical="top" wrapText="1"/>
    </xf>
    <xf numFmtId="0" fontId="0" fillId="0" borderId="16" xfId="0" applyBorder="1" applyAlignment="1">
      <alignment horizontal="left" vertical="top" wrapText="1"/>
    </xf>
    <xf numFmtId="0" fontId="0" fillId="0" borderId="4" xfId="0" applyBorder="1" applyAlignment="1">
      <alignment horizontal="left" vertical="top" wrapText="1"/>
    </xf>
    <xf numFmtId="0" fontId="0" fillId="0" borderId="17" xfId="0" applyBorder="1" applyAlignment="1">
      <alignment horizontal="left" vertical="top" wrapText="1"/>
    </xf>
    <xf numFmtId="0" fontId="30" fillId="8" borderId="2" xfId="8" applyFont="1" applyFill="1" applyBorder="1" applyAlignment="1">
      <alignment horizontal="center" vertical="center" wrapText="1"/>
    </xf>
    <xf numFmtId="0" fontId="30" fillId="8" borderId="0" xfId="8" applyFont="1" applyFill="1" applyAlignment="1">
      <alignment horizontal="center" vertical="center" wrapText="1"/>
    </xf>
    <xf numFmtId="167" fontId="13" fillId="7" borderId="5" xfId="1" applyNumberFormat="1" applyFont="1" applyFill="1" applyBorder="1" applyAlignment="1">
      <alignment horizontal="center" vertical="center" wrapText="1"/>
    </xf>
    <xf numFmtId="167" fontId="13" fillId="7" borderId="7" xfId="1" applyNumberFormat="1" applyFont="1" applyFill="1" applyBorder="1" applyAlignment="1">
      <alignment horizontal="center" vertical="center" wrapText="1"/>
    </xf>
    <xf numFmtId="167" fontId="18" fillId="7" borderId="0" xfId="1" applyNumberFormat="1" applyFont="1" applyFill="1" applyAlignment="1">
      <alignment horizontal="center" vertical="center"/>
    </xf>
    <xf numFmtId="0" fontId="8" fillId="0" borderId="11" xfId="11" applyFont="1" applyBorder="1" applyAlignment="1">
      <alignment horizontal="justify" vertical="justify" wrapText="1"/>
    </xf>
    <xf numFmtId="0" fontId="8" fillId="0" borderId="2" xfId="11" applyFont="1" applyBorder="1" applyAlignment="1">
      <alignment horizontal="justify" vertical="justify" wrapText="1"/>
    </xf>
    <xf numFmtId="0" fontId="8" fillId="0" borderId="12" xfId="11" applyFont="1" applyBorder="1" applyAlignment="1">
      <alignment horizontal="justify" vertical="justify" wrapText="1"/>
    </xf>
    <xf numFmtId="0" fontId="8" fillId="0" borderId="13" xfId="11" applyFont="1" applyBorder="1" applyAlignment="1">
      <alignment horizontal="justify" vertical="justify" wrapText="1"/>
    </xf>
    <xf numFmtId="0" fontId="8" fillId="0" borderId="0" xfId="11" applyFont="1" applyAlignment="1">
      <alignment horizontal="justify" vertical="justify" wrapText="1"/>
    </xf>
    <xf numFmtId="0" fontId="8" fillId="0" borderId="14" xfId="11" applyFont="1" applyBorder="1" applyAlignment="1">
      <alignment horizontal="justify" vertical="justify" wrapText="1"/>
    </xf>
    <xf numFmtId="0" fontId="8" fillId="0" borderId="16" xfId="11" applyFont="1" applyBorder="1" applyAlignment="1">
      <alignment horizontal="justify" vertical="justify" wrapText="1"/>
    </xf>
    <xf numFmtId="0" fontId="8" fillId="0" borderId="4" xfId="11" applyFont="1" applyBorder="1" applyAlignment="1">
      <alignment horizontal="justify" vertical="justify" wrapText="1"/>
    </xf>
    <xf numFmtId="0" fontId="8" fillId="0" borderId="17" xfId="11" applyFont="1" applyBorder="1" applyAlignment="1">
      <alignment horizontal="justify" vertical="justify" wrapText="1"/>
    </xf>
    <xf numFmtId="167" fontId="18" fillId="7" borderId="18" xfId="1" applyNumberFormat="1" applyFont="1" applyFill="1" applyBorder="1" applyAlignment="1">
      <alignment horizontal="center"/>
    </xf>
    <xf numFmtId="167" fontId="18" fillId="7" borderId="1" xfId="1" applyNumberFormat="1" applyFont="1" applyFill="1" applyBorder="1" applyAlignment="1">
      <alignment horizontal="center"/>
    </xf>
    <xf numFmtId="167" fontId="18" fillId="7" borderId="19" xfId="1" applyNumberFormat="1" applyFont="1" applyFill="1" applyBorder="1" applyAlignment="1">
      <alignment horizontal="center"/>
    </xf>
    <xf numFmtId="167" fontId="13" fillId="7" borderId="0" xfId="1" applyNumberFormat="1" applyFont="1" applyFill="1" applyAlignment="1">
      <alignment horizontal="left"/>
    </xf>
    <xf numFmtId="167" fontId="18" fillId="7" borderId="0" xfId="1" applyNumberFormat="1" applyFont="1" applyFill="1" applyAlignment="1">
      <alignment horizontal="left" wrapText="1"/>
    </xf>
    <xf numFmtId="167" fontId="13" fillId="6" borderId="0" xfId="1" applyNumberFormat="1" applyFont="1" applyFill="1" applyAlignment="1">
      <alignment horizontal="center" vertical="center" wrapText="1"/>
    </xf>
    <xf numFmtId="0" fontId="41" fillId="0" borderId="13" xfId="0" applyFont="1" applyBorder="1" applyAlignment="1">
      <alignment horizontal="justify" vertical="justify" wrapText="1"/>
    </xf>
    <xf numFmtId="0" fontId="0" fillId="0" borderId="0" xfId="0" applyBorder="1" applyAlignment="1">
      <alignment horizontal="justify" vertical="justify" wrapText="1"/>
    </xf>
    <xf numFmtId="0" fontId="0" fillId="0" borderId="14" xfId="0" applyBorder="1" applyAlignment="1">
      <alignment horizontal="justify" vertical="justify" wrapText="1"/>
    </xf>
    <xf numFmtId="0" fontId="0" fillId="0" borderId="13" xfId="0" applyBorder="1" applyAlignment="1">
      <alignment horizontal="justify" vertical="justify" wrapText="1"/>
    </xf>
    <xf numFmtId="0" fontId="0" fillId="0" borderId="16" xfId="0" applyBorder="1" applyAlignment="1">
      <alignment horizontal="justify" vertical="justify" wrapText="1"/>
    </xf>
    <xf numFmtId="0" fontId="0" fillId="0" borderId="4" xfId="0" applyBorder="1" applyAlignment="1">
      <alignment horizontal="justify" vertical="justify" wrapText="1"/>
    </xf>
    <xf numFmtId="0" fontId="0" fillId="0" borderId="17" xfId="0" applyBorder="1" applyAlignment="1">
      <alignment horizontal="justify" vertical="justify" wrapText="1"/>
    </xf>
    <xf numFmtId="0" fontId="27" fillId="14" borderId="13" xfId="0" applyFont="1" applyFill="1" applyBorder="1" applyAlignment="1">
      <alignment horizontal="left" vertical="top" wrapText="1"/>
    </xf>
    <xf numFmtId="0" fontId="27" fillId="14" borderId="0" xfId="0" applyFont="1" applyFill="1" applyBorder="1" applyAlignment="1">
      <alignment horizontal="left" vertical="top" wrapText="1"/>
    </xf>
    <xf numFmtId="0" fontId="27" fillId="14" borderId="14" xfId="0" applyFont="1" applyFill="1" applyBorder="1" applyAlignment="1">
      <alignment horizontal="left" vertical="top" wrapText="1"/>
    </xf>
    <xf numFmtId="0" fontId="27" fillId="14" borderId="13" xfId="0" applyFont="1" applyFill="1" applyBorder="1" applyAlignment="1">
      <alignment horizontal="left" wrapText="1"/>
    </xf>
    <xf numFmtId="0" fontId="27" fillId="14" borderId="0" xfId="0" applyFont="1" applyFill="1" applyBorder="1" applyAlignment="1">
      <alignment horizontal="left" wrapText="1"/>
    </xf>
    <xf numFmtId="0" fontId="27" fillId="14" borderId="14" xfId="0" applyFont="1" applyFill="1" applyBorder="1" applyAlignment="1">
      <alignment horizontal="left" wrapText="1"/>
    </xf>
    <xf numFmtId="0" fontId="42" fillId="0" borderId="13" xfId="0" applyFont="1" applyBorder="1" applyAlignment="1">
      <alignment horizontal="justify" vertical="justify" wrapText="1"/>
    </xf>
    <xf numFmtId="0" fontId="42" fillId="0" borderId="0" xfId="0" applyFont="1" applyBorder="1" applyAlignment="1">
      <alignment horizontal="justify" vertical="justify" wrapText="1"/>
    </xf>
    <xf numFmtId="0" fontId="42" fillId="0" borderId="14" xfId="0" applyFont="1" applyBorder="1" applyAlignment="1">
      <alignment horizontal="justify" vertical="justify" wrapText="1"/>
    </xf>
    <xf numFmtId="0" fontId="27" fillId="14" borderId="13" xfId="0" applyFont="1" applyFill="1" applyBorder="1" applyAlignment="1">
      <alignment horizontal="justify" vertical="justify" wrapText="1"/>
    </xf>
    <xf numFmtId="0" fontId="27" fillId="14" borderId="0" xfId="0" applyFont="1" applyFill="1" applyBorder="1" applyAlignment="1">
      <alignment horizontal="justify" vertical="justify" wrapText="1"/>
    </xf>
    <xf numFmtId="0" fontId="27" fillId="14" borderId="14" xfId="0" applyFont="1" applyFill="1" applyBorder="1" applyAlignment="1">
      <alignment horizontal="justify" vertical="justify" wrapText="1"/>
    </xf>
    <xf numFmtId="0" fontId="42" fillId="0" borderId="16" xfId="0" applyFont="1" applyBorder="1" applyAlignment="1">
      <alignment horizontal="justify" vertical="justify" wrapText="1"/>
    </xf>
    <xf numFmtId="0" fontId="42" fillId="0" borderId="4" xfId="0" applyFont="1" applyBorder="1" applyAlignment="1">
      <alignment horizontal="justify" vertical="justify" wrapText="1"/>
    </xf>
    <xf numFmtId="0" fontId="42" fillId="0" borderId="17" xfId="0" applyFont="1" applyBorder="1" applyAlignment="1">
      <alignment horizontal="justify" vertical="justify" wrapText="1"/>
    </xf>
    <xf numFmtId="167" fontId="13" fillId="7" borderId="11" xfId="1" applyNumberFormat="1" applyFont="1" applyFill="1" applyBorder="1" applyAlignment="1">
      <alignment horizontal="center" vertical="center" wrapText="1"/>
    </xf>
    <xf numFmtId="167" fontId="13" fillId="7" borderId="2" xfId="1" applyNumberFormat="1" applyFont="1" applyFill="1" applyBorder="1" applyAlignment="1">
      <alignment horizontal="center" vertical="center" wrapText="1"/>
    </xf>
    <xf numFmtId="167" fontId="13" fillId="7" borderId="12" xfId="1" applyNumberFormat="1" applyFont="1" applyFill="1" applyBorder="1" applyAlignment="1">
      <alignment horizontal="center" vertical="center" wrapText="1"/>
    </xf>
    <xf numFmtId="167" fontId="13" fillId="7" borderId="0" xfId="1" applyNumberFormat="1" applyFont="1" applyFill="1" applyAlignment="1">
      <alignment horizontal="center"/>
    </xf>
    <xf numFmtId="167" fontId="18" fillId="7" borderId="0" xfId="1" applyNumberFormat="1" applyFont="1" applyFill="1" applyAlignment="1">
      <alignment horizontal="center"/>
    </xf>
    <xf numFmtId="0" fontId="16" fillId="0" borderId="26" xfId="0" applyFont="1" applyBorder="1" applyAlignment="1">
      <alignment horizontal="left" vertical="center" wrapText="1"/>
    </xf>
    <xf numFmtId="0" fontId="16" fillId="0" borderId="0" xfId="0" applyFont="1" applyBorder="1" applyAlignment="1">
      <alignment horizontal="left" vertical="center" wrapText="1"/>
    </xf>
    <xf numFmtId="0" fontId="51" fillId="22" borderId="29" xfId="0" applyFont="1" applyFill="1" applyBorder="1" applyAlignment="1">
      <alignment horizontal="left" vertical="center" wrapText="1"/>
    </xf>
    <xf numFmtId="0" fontId="51" fillId="22" borderId="26" xfId="0" applyFont="1" applyFill="1" applyBorder="1" applyAlignment="1">
      <alignment horizontal="left" vertical="center" wrapText="1"/>
    </xf>
    <xf numFmtId="0" fontId="51" fillId="9" borderId="29" xfId="0" applyFont="1" applyFill="1" applyBorder="1" applyAlignment="1">
      <alignment horizontal="left" vertical="center" wrapText="1"/>
    </xf>
    <xf numFmtId="0" fontId="51" fillId="9" borderId="26" xfId="0" applyFont="1" applyFill="1" applyBorder="1" applyAlignment="1">
      <alignment horizontal="left" vertical="center" wrapText="1"/>
    </xf>
    <xf numFmtId="0" fontId="50" fillId="0" borderId="0" xfId="0" applyFont="1" applyAlignment="1">
      <alignment horizontal="justify" vertical="justify" wrapText="1"/>
    </xf>
    <xf numFmtId="0" fontId="19" fillId="14" borderId="13" xfId="0" applyFont="1" applyFill="1" applyBorder="1" applyAlignment="1">
      <alignment horizontal="center" wrapText="1"/>
    </xf>
    <xf numFmtId="0" fontId="19" fillId="14" borderId="0" xfId="0" applyFont="1" applyFill="1" applyBorder="1" applyAlignment="1">
      <alignment horizontal="center" wrapText="1"/>
    </xf>
    <xf numFmtId="0" fontId="19" fillId="14" borderId="13" xfId="0" applyFont="1" applyFill="1" applyBorder="1" applyAlignment="1">
      <alignment horizontal="center"/>
    </xf>
    <xf numFmtId="0" fontId="19" fillId="14" borderId="0" xfId="0" applyFont="1" applyFill="1" applyBorder="1" applyAlignment="1">
      <alignment horizontal="center"/>
    </xf>
    <xf numFmtId="0" fontId="51" fillId="19" borderId="29" xfId="0" applyFont="1" applyFill="1" applyBorder="1" applyAlignment="1">
      <alignment horizontal="left" vertical="center" wrapText="1"/>
    </xf>
    <xf numFmtId="0" fontId="51" fillId="19" borderId="26" xfId="0" applyFont="1" applyFill="1" applyBorder="1" applyAlignment="1">
      <alignment horizontal="left" vertical="center" wrapText="1"/>
    </xf>
    <xf numFmtId="0" fontId="51" fillId="20" borderId="29" xfId="0" applyFont="1" applyFill="1" applyBorder="1" applyAlignment="1">
      <alignment horizontal="left" vertical="center" wrapText="1"/>
    </xf>
    <xf numFmtId="0" fontId="51" fillId="20" borderId="26" xfId="0" applyFont="1" applyFill="1" applyBorder="1" applyAlignment="1">
      <alignment horizontal="left" vertical="center" wrapText="1"/>
    </xf>
    <xf numFmtId="0" fontId="51" fillId="21" borderId="29" xfId="0" applyFont="1" applyFill="1" applyBorder="1" applyAlignment="1">
      <alignment horizontal="left" vertical="center" wrapText="1"/>
    </xf>
    <xf numFmtId="0" fontId="51" fillId="21" borderId="26" xfId="0" applyFont="1" applyFill="1" applyBorder="1" applyAlignment="1">
      <alignment horizontal="left" vertical="center" wrapText="1"/>
    </xf>
    <xf numFmtId="0" fontId="51" fillId="14" borderId="29" xfId="0" applyFont="1" applyFill="1" applyBorder="1" applyAlignment="1">
      <alignment horizontal="left" vertical="center" wrapText="1"/>
    </xf>
    <xf numFmtId="0" fontId="51" fillId="14" borderId="26" xfId="0" applyFont="1" applyFill="1" applyBorder="1" applyAlignment="1">
      <alignment horizontal="left" vertical="center" wrapText="1"/>
    </xf>
    <xf numFmtId="166" fontId="14" fillId="0" borderId="0" xfId="0" applyNumberFormat="1" applyFont="1"/>
  </cellXfs>
  <cellStyles count="13">
    <cellStyle name="Comma" xfId="1" builtinId="3"/>
    <cellStyle name="Comma 2" xfId="6" xr:uid="{81CF8CE9-A163-43E5-94B2-358B02CA6D31}"/>
    <cellStyle name="Comma 3" xfId="9" xr:uid="{78B0F06A-C3DB-475C-A61B-6987FF940687}"/>
    <cellStyle name="Currency" xfId="4" builtinId="4"/>
    <cellStyle name="Hyperlink" xfId="12" builtinId="8"/>
    <cellStyle name="Normal" xfId="0" builtinId="0"/>
    <cellStyle name="Normal 2" xfId="3" xr:uid="{D27D7AC0-C197-4E0C-A700-1FFCA853A5EA}"/>
    <cellStyle name="Normal 3" xfId="5" xr:uid="{FAECBC26-29AA-492C-8CF0-5CCEDA858A68}"/>
    <cellStyle name="Normal 4" xfId="7" xr:uid="{B466D234-AF43-44EC-8D3F-122B86C9470D}"/>
    <cellStyle name="Normal 5" xfId="8" xr:uid="{72426740-77BC-4AB1-B637-F58C08A02C03}"/>
    <cellStyle name="Normal 6" xfId="11" xr:uid="{8EDD7D7E-ECD4-4006-8432-C9B2B2C103C1}"/>
    <cellStyle name="Percent" xfId="2" builtinId="5"/>
    <cellStyle name="Percent 2" xfId="10" xr:uid="{161CD01F-68C4-40E9-A30E-6E7177626B0A}"/>
  </cellStyles>
  <dxfs count="2">
    <dxf>
      <font>
        <color rgb="FF9C0006"/>
      </font>
      <fill>
        <patternFill>
          <bgColor rgb="FFFFC7CE"/>
        </patternFill>
      </fill>
    </dxf>
    <dxf>
      <font>
        <color rgb="FF0061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Arial Narrow" panose="020B0606020202030204" pitchFamily="34" charset="0"/>
              </a:rPr>
              <a:t>Tornado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305175853018373"/>
          <c:y val="0.17171296296296298"/>
          <c:w val="0.8612977757342376"/>
          <c:h val="0.62271617089530473"/>
        </c:manualLayout>
      </c:layout>
      <c:barChart>
        <c:barDir val="bar"/>
        <c:grouping val="clustered"/>
        <c:varyColors val="0"/>
        <c:ser>
          <c:idx val="0"/>
          <c:order val="0"/>
          <c:tx>
            <c:v>-50%</c:v>
          </c:tx>
          <c:spPr>
            <a:solidFill>
              <a:schemeClr val="accent1"/>
            </a:solidFill>
            <a:ln>
              <a:noFill/>
            </a:ln>
            <a:effectLst/>
          </c:spPr>
          <c:invertIfNegative val="0"/>
          <c:cat>
            <c:strRef>
              <c:f>'Tornado Chart'!$B$2:$E$3</c:f>
              <c:strCache>
                <c:ptCount val="4"/>
                <c:pt idx="0">
                  <c:v>WACC</c:v>
                </c:pt>
                <c:pt idx="1">
                  <c:v>Growth Rate</c:v>
                </c:pt>
                <c:pt idx="2">
                  <c:v>No. of Shares</c:v>
                </c:pt>
                <c:pt idx="3">
                  <c:v>Free Cash Flow</c:v>
                </c:pt>
              </c:strCache>
            </c:strRef>
          </c:cat>
          <c:val>
            <c:numRef>
              <c:f>'Tornado Chart'!$B$4:$E$4</c:f>
              <c:numCache>
                <c:formatCode>0.00</c:formatCode>
                <c:ptCount val="4"/>
                <c:pt idx="0">
                  <c:v>475.56153421409317</c:v>
                </c:pt>
                <c:pt idx="1">
                  <c:v>120.72630406550839</c:v>
                </c:pt>
                <c:pt idx="2">
                  <c:v>325.19104015724452</c:v>
                </c:pt>
                <c:pt idx="3" formatCode="_(* #,##0.00_);_(* \(#,##0.00\);_(* &quot;-&quot;??_);_(@_)">
                  <c:v>60.221259842519686</c:v>
                </c:pt>
              </c:numCache>
            </c:numRef>
          </c:val>
          <c:extLst>
            <c:ext xmlns:c16="http://schemas.microsoft.com/office/drawing/2014/chart" uri="{C3380CC4-5D6E-409C-BE32-E72D297353CC}">
              <c16:uniqueId val="{00000000-2211-492A-89BB-C7B820603CF8}"/>
            </c:ext>
          </c:extLst>
        </c:ser>
        <c:ser>
          <c:idx val="1"/>
          <c:order val="1"/>
          <c:tx>
            <c:v>'+50%</c:v>
          </c:tx>
          <c:spPr>
            <a:solidFill>
              <a:schemeClr val="accent2"/>
            </a:solidFill>
            <a:ln>
              <a:noFill/>
            </a:ln>
            <a:effectLst/>
          </c:spPr>
          <c:invertIfNegative val="0"/>
          <c:cat>
            <c:strRef>
              <c:f>'Tornado Chart'!$B$2:$E$3</c:f>
              <c:strCache>
                <c:ptCount val="4"/>
                <c:pt idx="0">
                  <c:v>WACC</c:v>
                </c:pt>
                <c:pt idx="1">
                  <c:v>Growth Rate</c:v>
                </c:pt>
                <c:pt idx="2">
                  <c:v>No. of Shares</c:v>
                </c:pt>
                <c:pt idx="3">
                  <c:v>Free Cash Flow</c:v>
                </c:pt>
              </c:strCache>
            </c:strRef>
          </c:cat>
          <c:val>
            <c:numRef>
              <c:f>'Tornado Chart'!$B$6:$E$6</c:f>
              <c:numCache>
                <c:formatCode>0.00</c:formatCode>
                <c:ptCount val="4"/>
                <c:pt idx="0">
                  <c:v>68.970500943943151</c:v>
                </c:pt>
                <c:pt idx="1">
                  <c:v>164.65372032959797</c:v>
                </c:pt>
                <c:pt idx="2">
                  <c:v>87.686137682363182</c:v>
                </c:pt>
                <c:pt idx="3">
                  <c:v>301.20236220472441</c:v>
                </c:pt>
              </c:numCache>
            </c:numRef>
          </c:val>
          <c:extLst>
            <c:ext xmlns:c16="http://schemas.microsoft.com/office/drawing/2014/chart" uri="{C3380CC4-5D6E-409C-BE32-E72D297353CC}">
              <c16:uniqueId val="{00000001-2211-492A-89BB-C7B820603CF8}"/>
            </c:ext>
          </c:extLst>
        </c:ser>
        <c:dLbls>
          <c:showLegendKey val="0"/>
          <c:showVal val="0"/>
          <c:showCatName val="0"/>
          <c:showSerName val="0"/>
          <c:showPercent val="0"/>
          <c:showBubbleSize val="0"/>
        </c:dLbls>
        <c:gapWidth val="85"/>
        <c:overlap val="100"/>
        <c:axId val="585275456"/>
        <c:axId val="585269552"/>
      </c:barChart>
      <c:catAx>
        <c:axId val="58527545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585269552"/>
        <c:crossesAt val="139.81"/>
        <c:auto val="1"/>
        <c:lblAlgn val="ctr"/>
        <c:lblOffset val="100"/>
        <c:noMultiLvlLbl val="0"/>
      </c:catAx>
      <c:valAx>
        <c:axId val="585269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Share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5275456"/>
        <c:crosses val="autoZero"/>
        <c:crossBetween val="between"/>
      </c:valAx>
      <c:spPr>
        <a:noFill/>
        <a:ln>
          <a:noFill/>
        </a:ln>
        <a:effectLst/>
      </c:spPr>
    </c:plotArea>
    <c:legend>
      <c:legendPos val="r"/>
      <c:layout>
        <c:manualLayout>
          <c:xMode val="edge"/>
          <c:yMode val="edge"/>
          <c:x val="0.75117612123302102"/>
          <c:y val="0.27393445610965295"/>
          <c:w val="0.10037057222071877"/>
          <c:h val="0.155890236584168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H$45" horiz="1" max="300" page="10" val="155"/>
</file>

<file path=xl/ctrlProps/ctrlProp2.xml><?xml version="1.0" encoding="utf-8"?>
<formControlPr xmlns="http://schemas.microsoft.com/office/spreadsheetml/2009/9/main" objectType="Drop" dropStyle="combo" dx="22" fmlaLink="$Q$61" fmlaRange="$AB$59:$AB$68" noThreeD="1" sel="3" val="2"/>
</file>

<file path=xl/ctrlProps/ctrlProp3.xml><?xml version="1.0" encoding="utf-8"?>
<formControlPr xmlns="http://schemas.microsoft.com/office/spreadsheetml/2009/9/main" objectType="Drop" dropStyle="combo" dx="22" fmlaLink="$P$62" fmlaRange="$AD$59:$AD$69" noThreeD="1" sel="10" val="3"/>
</file>

<file path=xl/drawings/_rels/drawing2.xml.rels><?xml version="1.0" encoding="UTF-8" standalone="yes"?>
<Relationships xmlns="http://schemas.openxmlformats.org/package/2006/relationships"><Relationship Id="rId8" Type="http://schemas.openxmlformats.org/officeDocument/2006/relationships/hyperlink" Target="#'Multiples based Valuation'!A1"/><Relationship Id="rId13" Type="http://schemas.openxmlformats.org/officeDocument/2006/relationships/hyperlink" Target="#'Key Products'!A1"/><Relationship Id="rId3" Type="http://schemas.openxmlformats.org/officeDocument/2006/relationships/hyperlink" Target="#'Ratios &amp; Indicators'!A1"/><Relationship Id="rId7" Type="http://schemas.openxmlformats.org/officeDocument/2006/relationships/hyperlink" Target="#Beta!A1"/><Relationship Id="rId12" Type="http://schemas.openxmlformats.org/officeDocument/2006/relationships/hyperlink" Target="#'SWOT Analysis'!A1"/><Relationship Id="rId2" Type="http://schemas.openxmlformats.org/officeDocument/2006/relationships/image" Target="../media/image1.png"/><Relationship Id="rId1" Type="http://schemas.openxmlformats.org/officeDocument/2006/relationships/hyperlink" Target="#'Summary Sheet'!A1"/><Relationship Id="rId6" Type="http://schemas.openxmlformats.org/officeDocument/2006/relationships/hyperlink" Target="#'Tornado Chart'!A1"/><Relationship Id="rId11" Type="http://schemas.openxmlformats.org/officeDocument/2006/relationships/hyperlink" Target="#'Customer wise Revenue'!A1"/><Relationship Id="rId5" Type="http://schemas.openxmlformats.org/officeDocument/2006/relationships/hyperlink" Target="#'WACC &amp; Valuation'!A1"/><Relationship Id="rId10" Type="http://schemas.openxmlformats.org/officeDocument/2006/relationships/hyperlink" Target="#'Cash Flow'!A1"/><Relationship Id="rId4" Type="http://schemas.openxmlformats.org/officeDocument/2006/relationships/hyperlink" Target="#'Income Statement'!A1"/><Relationship Id="rId9" Type="http://schemas.openxmlformats.org/officeDocument/2006/relationships/hyperlink" Target="#'Balance Sheet'!A1"/></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590550</xdr:colOff>
      <xdr:row>1</xdr:row>
      <xdr:rowOff>66676</xdr:rowOff>
    </xdr:from>
    <xdr:to>
      <xdr:col>13</xdr:col>
      <xdr:colOff>0</xdr:colOff>
      <xdr:row>35</xdr:row>
      <xdr:rowOff>28576</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90550" y="228601"/>
          <a:ext cx="8658225" cy="546735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NZ" sz="1800" b="1"/>
            <a:t>Project 1 - Company</a:t>
          </a:r>
          <a:r>
            <a:rPr lang="en-NZ" sz="1800" b="1" baseline="0"/>
            <a:t> Valuation</a:t>
          </a:r>
          <a:endParaRPr lang="en-NZ" sz="1800" b="1"/>
        </a:p>
        <a:p>
          <a:r>
            <a:rPr lang="en-NZ" sz="1800" b="1"/>
            <a:t>Due ****</a:t>
          </a:r>
          <a:r>
            <a:rPr lang="en-NZ" sz="1800" b="1" baseline="0"/>
            <a:t> ***</a:t>
          </a:r>
          <a:r>
            <a:rPr lang="en-NZ" sz="1800" b="1"/>
            <a:t> ****</a:t>
          </a:r>
        </a:p>
        <a:p>
          <a:endParaRPr lang="en-NZ" sz="1800" b="1"/>
        </a:p>
        <a:p>
          <a:pPr algn="just">
            <a:spcAft>
              <a:spcPts val="0"/>
            </a:spcAft>
          </a:pPr>
          <a:r>
            <a:rPr lang="en-NZ" sz="1100">
              <a:effectLst/>
              <a:latin typeface="Arial" panose="020B0604020202020204" pitchFamily="34" charset="0"/>
              <a:ea typeface="Times New Roman" panose="02020603050405020304" pitchFamily="18" charset="0"/>
              <a:cs typeface="Times New Roman" panose="02020603050405020304" pitchFamily="18" charset="0"/>
            </a:rPr>
            <a:t>Students are required to develop a company valuation model using the discounted cashflow valuation and other methods for a company publicly listed on a stock exchange of a country of your choice (for example, the US, Japan, the UK, etc.). The company of your project requires the lecturer’s prior approval by the end of week 5. The model should contain:</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342900" lvl="0" indent="-342900" algn="just">
            <a:spcAft>
              <a:spcPts val="0"/>
            </a:spcAft>
            <a:buFont typeface="Wingdings" panose="05000000000000000000" pitchFamily="2" charset="2"/>
            <a:buChar char=""/>
          </a:pPr>
          <a:r>
            <a:rPr lang="en-NZ" sz="1100">
              <a:effectLst/>
              <a:latin typeface="Arial" panose="020B0604020202020204" pitchFamily="34" charset="0"/>
              <a:ea typeface="Times New Roman" panose="02020603050405020304" pitchFamily="18" charset="0"/>
              <a:cs typeface="Times New Roman" panose="02020603050405020304" pitchFamily="18" charset="0"/>
            </a:rPr>
            <a:t>Financial statements that are forecasted 5 years into the future based on the 5 years’ worth of past information provided. (Balance Sheet, Income Statement, Cashflow Statement) </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742950" lvl="1" indent="-285750" algn="just">
            <a:spcAft>
              <a:spcPts val="0"/>
            </a:spcAft>
            <a:buFont typeface="Courier New" panose="02070309020205020404" pitchFamily="49" charset="0"/>
            <a:buChar char="o"/>
          </a:pPr>
          <a:r>
            <a:rPr lang="en-NZ" sz="1100">
              <a:effectLst/>
              <a:latin typeface="Arial" panose="020B0604020202020204" pitchFamily="34" charset="0"/>
              <a:ea typeface="Times New Roman" panose="02020603050405020304" pitchFamily="18" charset="0"/>
              <a:cs typeface="Times New Roman" panose="02020603050405020304" pitchFamily="18" charset="0"/>
            </a:rPr>
            <a:t>Assumptions made in forecasting the future should be identified and justified with reference to past financial information, other annual report information and any other information sources that the student deems important</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742950" lvl="1" indent="-285750" algn="just">
            <a:spcAft>
              <a:spcPts val="0"/>
            </a:spcAft>
            <a:buFont typeface="Courier New" panose="02070309020205020404" pitchFamily="49" charset="0"/>
            <a:buChar char="o"/>
          </a:pPr>
          <a:r>
            <a:rPr lang="en-NZ" sz="1100">
              <a:effectLst/>
              <a:latin typeface="Arial" panose="020B0604020202020204" pitchFamily="34" charset="0"/>
              <a:ea typeface="Times New Roman" panose="02020603050405020304" pitchFamily="18" charset="0"/>
              <a:cs typeface="Times New Roman" panose="02020603050405020304" pitchFamily="18" charset="0"/>
            </a:rPr>
            <a:t>All assumptions made by the student should be reasonable and justified</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742950" lvl="1" indent="-285750" algn="just">
            <a:spcAft>
              <a:spcPts val="0"/>
            </a:spcAft>
            <a:buFont typeface="Courier New" panose="02070309020205020404" pitchFamily="49" charset="0"/>
            <a:buChar char="o"/>
          </a:pPr>
          <a:r>
            <a:rPr lang="en-NZ" sz="1100">
              <a:effectLst/>
              <a:latin typeface="Arial" panose="020B0604020202020204" pitchFamily="34" charset="0"/>
              <a:ea typeface="Times New Roman" panose="02020603050405020304" pitchFamily="18" charset="0"/>
              <a:cs typeface="Times New Roman" panose="02020603050405020304" pitchFamily="18" charset="0"/>
            </a:rPr>
            <a:t>The model should also contain opportunities for the user to change key inputs to assess the impact on the firm’s value</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742950" lvl="1" indent="-285750" algn="just">
            <a:spcAft>
              <a:spcPts val="0"/>
            </a:spcAft>
            <a:buFont typeface="Courier New" panose="02070309020205020404" pitchFamily="49" charset="0"/>
            <a:buChar char="o"/>
          </a:pPr>
          <a:r>
            <a:rPr lang="en-NZ" sz="1100">
              <a:effectLst/>
              <a:latin typeface="Arial" panose="020B0604020202020204" pitchFamily="34" charset="0"/>
              <a:ea typeface="Times New Roman" panose="02020603050405020304" pitchFamily="18" charset="0"/>
              <a:cs typeface="Times New Roman" panose="02020603050405020304" pitchFamily="18" charset="0"/>
            </a:rPr>
            <a:t>Students should feel free to add in additional information from the annual reports where it will add value to their model i.e. segmented revenue information or more detailed expense data. </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342900" lvl="0" indent="-342900" algn="just">
            <a:spcAft>
              <a:spcPts val="0"/>
            </a:spcAft>
            <a:buFont typeface="Wingdings" panose="05000000000000000000" pitchFamily="2" charset="2"/>
            <a:buChar char=""/>
          </a:pPr>
          <a:r>
            <a:rPr lang="en-NZ" sz="1100">
              <a:effectLst/>
              <a:latin typeface="Arial" panose="020B0604020202020204" pitchFamily="34" charset="0"/>
              <a:ea typeface="Times New Roman" panose="02020603050405020304" pitchFamily="18" charset="0"/>
              <a:cs typeface="Times New Roman" panose="02020603050405020304" pitchFamily="18" charset="0"/>
            </a:rPr>
            <a:t>The model should accurately compute the weighted average cost of capital and beta with the option of allowing users to alter the period and frequency of the beta used in the calculation of the WACC (i.e. one year daily data versus five years monthly)</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342900" lvl="0" indent="-342900" algn="just">
            <a:spcAft>
              <a:spcPts val="0"/>
            </a:spcAft>
            <a:buFont typeface="Wingdings" panose="05000000000000000000" pitchFamily="2" charset="2"/>
            <a:buChar char=""/>
          </a:pPr>
          <a:r>
            <a:rPr lang="en-NZ" sz="1100">
              <a:effectLst/>
              <a:latin typeface="Arial" panose="020B0604020202020204" pitchFamily="34" charset="0"/>
              <a:ea typeface="Times New Roman" panose="02020603050405020304" pitchFamily="18" charset="0"/>
              <a:cs typeface="Times New Roman" panose="02020603050405020304" pitchFamily="18" charset="0"/>
            </a:rPr>
            <a:t>Accurately employ the Free Cashflows formula to compute the cashflows for the next 5 years based on the forecasted financial statements’ information, and then use the Discounted Cashflow and/or other methodologies to compute the value of the company and hence stock price.</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342900" lvl="0" indent="-342900" algn="just">
            <a:spcAft>
              <a:spcPts val="0"/>
            </a:spcAft>
            <a:buFont typeface="Wingdings" panose="05000000000000000000" pitchFamily="2" charset="2"/>
            <a:buChar char=""/>
          </a:pPr>
          <a:r>
            <a:rPr lang="en-NZ" sz="1100">
              <a:effectLst/>
              <a:latin typeface="Arial" panose="020B0604020202020204" pitchFamily="34" charset="0"/>
              <a:ea typeface="Times New Roman" panose="02020603050405020304" pitchFamily="18" charset="0"/>
              <a:cs typeface="Times New Roman" panose="02020603050405020304" pitchFamily="18" charset="0"/>
            </a:rPr>
            <a:t>Model should contain a summary page that brings together key inputs and key outputs.</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marL="342900" lvl="0" indent="-342900" algn="just">
            <a:spcAft>
              <a:spcPts val="0"/>
            </a:spcAft>
            <a:buFont typeface="Wingdings" panose="05000000000000000000" pitchFamily="2" charset="2"/>
            <a:buChar char=""/>
          </a:pPr>
          <a:r>
            <a:rPr lang="en-NZ" sz="1100">
              <a:effectLst/>
              <a:latin typeface="Arial" panose="020B0604020202020204" pitchFamily="34" charset="0"/>
              <a:ea typeface="Times New Roman" panose="02020603050405020304" pitchFamily="18" charset="0"/>
              <a:cs typeface="Times New Roman" panose="02020603050405020304" pitchFamily="18" charset="0"/>
            </a:rPr>
            <a:t>The valuation model should conform to the rules of good financial model design.</a:t>
          </a:r>
          <a:endParaRPr lang="en-NZ" sz="1000">
            <a:effectLst/>
            <a:latin typeface="Lucida Sans Unicode" panose="020B0602030504020204" pitchFamily="34" charset="0"/>
            <a:ea typeface="Times New Roman" panose="02020603050405020304" pitchFamily="18" charset="0"/>
            <a:cs typeface="Times New Roman" panose="02020603050405020304" pitchFamily="18" charset="0"/>
          </a:endParaRPr>
        </a:p>
        <a:p>
          <a:pPr algn="just">
            <a:spcAft>
              <a:spcPts val="0"/>
            </a:spcAft>
          </a:pPr>
          <a:endParaRPr lang="en-NZ" sz="1000">
            <a:effectLst/>
            <a:latin typeface="Lucida Sans Unicode"/>
            <a:ea typeface="Times New Roman"/>
            <a:cs typeface="Times New Roman"/>
          </a:endParaRPr>
        </a:p>
        <a:p>
          <a:pPr algn="just">
            <a:spcAft>
              <a:spcPts val="0"/>
            </a:spcAft>
          </a:pPr>
          <a:r>
            <a:rPr lang="en-NZ" sz="1100" b="1" i="1">
              <a:effectLst/>
              <a:latin typeface="Arial"/>
              <a:ea typeface="Times New Roman"/>
              <a:cs typeface="Times New Roman"/>
            </a:rPr>
            <a:t>The model will only be marked if it is built within the spreadsheet file ****_**_Valuation.xlsm available from Blackboard. Students are expected to be able to explain or demonstrate any features or techniques in their assignments if requested.</a:t>
          </a:r>
          <a:endParaRPr lang="en-NZ" sz="1000">
            <a:effectLst/>
            <a:latin typeface="Lucida Sans Unicode"/>
            <a:ea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10595</xdr:colOff>
      <xdr:row>7</xdr:row>
      <xdr:rowOff>171982</xdr:rowOff>
    </xdr:from>
    <xdr:to>
      <xdr:col>7</xdr:col>
      <xdr:colOff>212611</xdr:colOff>
      <xdr:row>9</xdr:row>
      <xdr:rowOff>108482</xdr:rowOff>
    </xdr:to>
    <xdr:sp macro="" textlink="">
      <xdr:nvSpPr>
        <xdr:cNvPr id="14" name="Rectangle: Rounded Corners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225033" y="1862670"/>
          <a:ext cx="3238109" cy="365125"/>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Summary Sheet</a:t>
          </a:r>
        </a:p>
      </xdr:txBody>
    </xdr:sp>
    <xdr:clientData/>
  </xdr:twoCellAnchor>
  <xdr:twoCellAnchor editAs="oneCell">
    <xdr:from>
      <xdr:col>1</xdr:col>
      <xdr:colOff>573014</xdr:colOff>
      <xdr:row>11</xdr:row>
      <xdr:rowOff>108857</xdr:rowOff>
    </xdr:from>
    <xdr:to>
      <xdr:col>4</xdr:col>
      <xdr:colOff>223602</xdr:colOff>
      <xdr:row>13</xdr:row>
      <xdr:rowOff>109110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2"/>
        <a:stretch>
          <a:fillRect/>
        </a:stretch>
      </xdr:blipFill>
      <xdr:spPr>
        <a:xfrm>
          <a:off x="1185335" y="2789464"/>
          <a:ext cx="1487553" cy="408467"/>
        </a:xfrm>
        <a:prstGeom prst="rect">
          <a:avLst/>
        </a:prstGeom>
      </xdr:spPr>
    </xdr:pic>
    <xdr:clientData/>
  </xdr:twoCellAnchor>
  <xdr:twoCellAnchor editAs="oneCell">
    <xdr:from>
      <xdr:col>1</xdr:col>
      <xdr:colOff>551854</xdr:colOff>
      <xdr:row>13</xdr:row>
      <xdr:rowOff>113398</xdr:rowOff>
    </xdr:from>
    <xdr:to>
      <xdr:col>4</xdr:col>
      <xdr:colOff>202442</xdr:colOff>
      <xdr:row>15</xdr:row>
      <xdr:rowOff>113652</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1164175" y="3202219"/>
          <a:ext cx="1487553" cy="408467"/>
        </a:xfrm>
        <a:prstGeom prst="rect">
          <a:avLst/>
        </a:prstGeom>
      </xdr:spPr>
    </xdr:pic>
    <xdr:clientData/>
  </xdr:twoCellAnchor>
  <xdr:twoCellAnchor>
    <xdr:from>
      <xdr:col>1</xdr:col>
      <xdr:colOff>608922</xdr:colOff>
      <xdr:row>24</xdr:row>
      <xdr:rowOff>193897</xdr:rowOff>
    </xdr:from>
    <xdr:to>
      <xdr:col>7</xdr:col>
      <xdr:colOff>198616</xdr:colOff>
      <xdr:row>26</xdr:row>
      <xdr:rowOff>130397</xdr:rowOff>
    </xdr:to>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00000000-0008-0000-0100-000018000000}"/>
            </a:ext>
          </a:extLst>
        </xdr:cNvPr>
        <xdr:cNvSpPr/>
      </xdr:nvSpPr>
      <xdr:spPr>
        <a:xfrm>
          <a:off x="1221243" y="5310183"/>
          <a:ext cx="3263623" cy="344714"/>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Key</a:t>
          </a:r>
          <a:r>
            <a:rPr lang="en-US" sz="1600" b="1" baseline="0">
              <a:latin typeface="Arial Narrow" panose="020B0606020202030204" pitchFamily="34" charset="0"/>
            </a:rPr>
            <a:t> Ratios and Indicators</a:t>
          </a:r>
          <a:endParaRPr lang="en-US" sz="1600" b="1">
            <a:latin typeface="Arial Narrow" panose="020B0606020202030204" pitchFamily="34" charset="0"/>
          </a:endParaRPr>
        </a:p>
      </xdr:txBody>
    </xdr:sp>
    <xdr:clientData/>
  </xdr:twoCellAnchor>
  <xdr:twoCellAnchor>
    <xdr:from>
      <xdr:col>2</xdr:col>
      <xdr:colOff>8509</xdr:colOff>
      <xdr:row>9</xdr:row>
      <xdr:rowOff>146284</xdr:rowOff>
    </xdr:from>
    <xdr:to>
      <xdr:col>7</xdr:col>
      <xdr:colOff>210525</xdr:colOff>
      <xdr:row>11</xdr:row>
      <xdr:rowOff>82784</xdr:rowOff>
    </xdr:to>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00000000-0008-0000-0100-000019000000}"/>
            </a:ext>
          </a:extLst>
        </xdr:cNvPr>
        <xdr:cNvSpPr/>
      </xdr:nvSpPr>
      <xdr:spPr>
        <a:xfrm>
          <a:off x="1233152" y="2200963"/>
          <a:ext cx="3263623" cy="344714"/>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Income Statement</a:t>
          </a:r>
        </a:p>
      </xdr:txBody>
    </xdr:sp>
    <xdr:clientData/>
  </xdr:twoCellAnchor>
  <xdr:twoCellAnchor>
    <xdr:from>
      <xdr:col>2</xdr:col>
      <xdr:colOff>17036</xdr:colOff>
      <xdr:row>17</xdr:row>
      <xdr:rowOff>56131</xdr:rowOff>
    </xdr:from>
    <xdr:to>
      <xdr:col>7</xdr:col>
      <xdr:colOff>219052</xdr:colOff>
      <xdr:row>19</xdr:row>
      <xdr:rowOff>43658</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100-00001B000000}"/>
            </a:ext>
          </a:extLst>
        </xdr:cNvPr>
        <xdr:cNvSpPr/>
      </xdr:nvSpPr>
      <xdr:spPr>
        <a:xfrm>
          <a:off x="1241679" y="3743667"/>
          <a:ext cx="3263623" cy="395741"/>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WACC &amp; DCF Valuation</a:t>
          </a:r>
        </a:p>
      </xdr:txBody>
    </xdr:sp>
    <xdr:clientData/>
  </xdr:twoCellAnchor>
  <xdr:twoCellAnchor>
    <xdr:from>
      <xdr:col>2</xdr:col>
      <xdr:colOff>13624</xdr:colOff>
      <xdr:row>19</xdr:row>
      <xdr:rowOff>74844</xdr:rowOff>
    </xdr:from>
    <xdr:to>
      <xdr:col>7</xdr:col>
      <xdr:colOff>215640</xdr:colOff>
      <xdr:row>21</xdr:row>
      <xdr:rowOff>11345</xdr:rowOff>
    </xdr:to>
    <xdr:sp macro="" textlink="">
      <xdr:nvSpPr>
        <xdr:cNvPr id="28" name="Rectangle: Rounded Corners 27">
          <a:hlinkClick xmlns:r="http://schemas.openxmlformats.org/officeDocument/2006/relationships" r:id="rId6"/>
          <a:extLst>
            <a:ext uri="{FF2B5EF4-FFF2-40B4-BE49-F238E27FC236}">
              <a16:creationId xmlns:a16="http://schemas.microsoft.com/office/drawing/2014/main" id="{00000000-0008-0000-0100-00001C000000}"/>
            </a:ext>
          </a:extLst>
        </xdr:cNvPr>
        <xdr:cNvSpPr/>
      </xdr:nvSpPr>
      <xdr:spPr>
        <a:xfrm>
          <a:off x="1238267" y="4170594"/>
          <a:ext cx="3263623" cy="344715"/>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Tornado Chart</a:t>
          </a:r>
        </a:p>
      </xdr:txBody>
    </xdr:sp>
    <xdr:clientData/>
  </xdr:twoCellAnchor>
  <xdr:twoCellAnchor>
    <xdr:from>
      <xdr:col>2</xdr:col>
      <xdr:colOff>15323</xdr:colOff>
      <xdr:row>15</xdr:row>
      <xdr:rowOff>76549</xdr:rowOff>
    </xdr:from>
    <xdr:to>
      <xdr:col>7</xdr:col>
      <xdr:colOff>217339</xdr:colOff>
      <xdr:row>17</xdr:row>
      <xdr:rowOff>13049</xdr:rowOff>
    </xdr:to>
    <xdr:sp macro="" textlink="">
      <xdr:nvSpPr>
        <xdr:cNvPr id="29" name="Rectangle: Rounded Corners 28">
          <a:hlinkClick xmlns:r="http://schemas.openxmlformats.org/officeDocument/2006/relationships" r:id="rId7"/>
          <a:extLst>
            <a:ext uri="{FF2B5EF4-FFF2-40B4-BE49-F238E27FC236}">
              <a16:creationId xmlns:a16="http://schemas.microsoft.com/office/drawing/2014/main" id="{00000000-0008-0000-0100-00001D000000}"/>
            </a:ext>
          </a:extLst>
        </xdr:cNvPr>
        <xdr:cNvSpPr/>
      </xdr:nvSpPr>
      <xdr:spPr>
        <a:xfrm>
          <a:off x="1239966" y="3355870"/>
          <a:ext cx="3263623" cy="344715"/>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Beta</a:t>
          </a:r>
        </a:p>
      </xdr:txBody>
    </xdr:sp>
    <xdr:clientData/>
  </xdr:twoCellAnchor>
  <xdr:twoCellAnchor>
    <xdr:from>
      <xdr:col>2</xdr:col>
      <xdr:colOff>23832</xdr:colOff>
      <xdr:row>21</xdr:row>
      <xdr:rowOff>51034</xdr:rowOff>
    </xdr:from>
    <xdr:to>
      <xdr:col>7</xdr:col>
      <xdr:colOff>225848</xdr:colOff>
      <xdr:row>22</xdr:row>
      <xdr:rowOff>181436</xdr:rowOff>
    </xdr:to>
    <xdr:sp macro="" textlink="">
      <xdr:nvSpPr>
        <xdr:cNvPr id="30" name="Rectangle: Rounded Corners 29">
          <a:hlinkClick xmlns:r="http://schemas.openxmlformats.org/officeDocument/2006/relationships" r:id="rId8"/>
          <a:extLst>
            <a:ext uri="{FF2B5EF4-FFF2-40B4-BE49-F238E27FC236}">
              <a16:creationId xmlns:a16="http://schemas.microsoft.com/office/drawing/2014/main" id="{00000000-0008-0000-0100-00001E000000}"/>
            </a:ext>
          </a:extLst>
        </xdr:cNvPr>
        <xdr:cNvSpPr/>
      </xdr:nvSpPr>
      <xdr:spPr>
        <a:xfrm>
          <a:off x="1248475" y="4554998"/>
          <a:ext cx="3263623" cy="334509"/>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Multiples</a:t>
          </a:r>
          <a:r>
            <a:rPr lang="en-US" sz="1600" b="1" baseline="0">
              <a:latin typeface="Arial Narrow" panose="020B0606020202030204" pitchFamily="34" charset="0"/>
            </a:rPr>
            <a:t> Based Valuation</a:t>
          </a:r>
          <a:endParaRPr lang="en-US" sz="1600" b="1">
            <a:latin typeface="Arial Narrow" panose="020B0606020202030204" pitchFamily="34" charset="0"/>
          </a:endParaRPr>
        </a:p>
      </xdr:txBody>
    </xdr:sp>
    <xdr:clientData/>
  </xdr:twoCellAnchor>
  <xdr:twoCellAnchor>
    <xdr:from>
      <xdr:col>2</xdr:col>
      <xdr:colOff>6814</xdr:colOff>
      <xdr:row>11</xdr:row>
      <xdr:rowOff>124171</xdr:rowOff>
    </xdr:from>
    <xdr:to>
      <xdr:col>7</xdr:col>
      <xdr:colOff>208830</xdr:colOff>
      <xdr:row>13</xdr:row>
      <xdr:rowOff>60670</xdr:rowOff>
    </xdr:to>
    <xdr:sp macro="" textlink="">
      <xdr:nvSpPr>
        <xdr:cNvPr id="32" name="Rectangle: Rounded Corners 31">
          <a:hlinkClick xmlns:r="http://schemas.openxmlformats.org/officeDocument/2006/relationships" r:id="rId9"/>
          <a:extLst>
            <a:ext uri="{FF2B5EF4-FFF2-40B4-BE49-F238E27FC236}">
              <a16:creationId xmlns:a16="http://schemas.microsoft.com/office/drawing/2014/main" id="{00000000-0008-0000-0100-000020000000}"/>
            </a:ext>
          </a:extLst>
        </xdr:cNvPr>
        <xdr:cNvSpPr/>
      </xdr:nvSpPr>
      <xdr:spPr>
        <a:xfrm>
          <a:off x="1231457" y="2587064"/>
          <a:ext cx="3263623" cy="344713"/>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Balance Sheet</a:t>
          </a:r>
        </a:p>
      </xdr:txBody>
    </xdr:sp>
    <xdr:clientData/>
  </xdr:twoCellAnchor>
  <xdr:twoCellAnchor>
    <xdr:from>
      <xdr:col>2</xdr:col>
      <xdr:colOff>17018</xdr:colOff>
      <xdr:row>13</xdr:row>
      <xdr:rowOff>100358</xdr:rowOff>
    </xdr:from>
    <xdr:to>
      <xdr:col>7</xdr:col>
      <xdr:colOff>219034</xdr:colOff>
      <xdr:row>15</xdr:row>
      <xdr:rowOff>36860</xdr:rowOff>
    </xdr:to>
    <xdr:sp macro="" textlink="">
      <xdr:nvSpPr>
        <xdr:cNvPr id="33" name="Rectangle: Rounded Corners 32">
          <a:hlinkClick xmlns:r="http://schemas.openxmlformats.org/officeDocument/2006/relationships" r:id="rId10"/>
          <a:extLst>
            <a:ext uri="{FF2B5EF4-FFF2-40B4-BE49-F238E27FC236}">
              <a16:creationId xmlns:a16="http://schemas.microsoft.com/office/drawing/2014/main" id="{00000000-0008-0000-0100-000021000000}"/>
            </a:ext>
          </a:extLst>
        </xdr:cNvPr>
        <xdr:cNvSpPr/>
      </xdr:nvSpPr>
      <xdr:spPr>
        <a:xfrm>
          <a:off x="1241661" y="2971465"/>
          <a:ext cx="3263623" cy="344716"/>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Cash Flow Statement</a:t>
          </a:r>
        </a:p>
      </xdr:txBody>
    </xdr:sp>
    <xdr:clientData/>
  </xdr:twoCellAnchor>
  <xdr:twoCellAnchor>
    <xdr:from>
      <xdr:col>2</xdr:col>
      <xdr:colOff>15875</xdr:colOff>
      <xdr:row>23</xdr:row>
      <xdr:rowOff>18142</xdr:rowOff>
    </xdr:from>
    <xdr:to>
      <xdr:col>7</xdr:col>
      <xdr:colOff>217891</xdr:colOff>
      <xdr:row>24</xdr:row>
      <xdr:rowOff>148543</xdr:rowOff>
    </xdr:to>
    <xdr:sp macro="" textlink="">
      <xdr:nvSpPr>
        <xdr:cNvPr id="15" name="Rectangle: Rounded Corners 14">
          <a:hlinkClick xmlns:r="http://schemas.openxmlformats.org/officeDocument/2006/relationships" r:id="rId11"/>
          <a:extLst>
            <a:ext uri="{FF2B5EF4-FFF2-40B4-BE49-F238E27FC236}">
              <a16:creationId xmlns:a16="http://schemas.microsoft.com/office/drawing/2014/main" id="{00000000-0008-0000-0100-00000F000000}"/>
            </a:ext>
          </a:extLst>
        </xdr:cNvPr>
        <xdr:cNvSpPr/>
      </xdr:nvSpPr>
      <xdr:spPr>
        <a:xfrm>
          <a:off x="1240518" y="4930321"/>
          <a:ext cx="3263623" cy="334508"/>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Major Customer-wise</a:t>
          </a:r>
          <a:r>
            <a:rPr lang="en-US" sz="1600" b="1" baseline="0">
              <a:latin typeface="Arial Narrow" panose="020B0606020202030204" pitchFamily="34" charset="0"/>
            </a:rPr>
            <a:t> Revenue</a:t>
          </a:r>
          <a:endParaRPr lang="en-US" sz="1600" b="1">
            <a:latin typeface="Arial Narrow" panose="020B0606020202030204" pitchFamily="34" charset="0"/>
          </a:endParaRPr>
        </a:p>
      </xdr:txBody>
    </xdr:sp>
    <xdr:clientData/>
  </xdr:twoCellAnchor>
  <xdr:twoCellAnchor>
    <xdr:from>
      <xdr:col>1</xdr:col>
      <xdr:colOff>598743</xdr:colOff>
      <xdr:row>26</xdr:row>
      <xdr:rowOff>176890</xdr:rowOff>
    </xdr:from>
    <xdr:to>
      <xdr:col>7</xdr:col>
      <xdr:colOff>188437</xdr:colOff>
      <xdr:row>28</xdr:row>
      <xdr:rowOff>113390</xdr:rowOff>
    </xdr:to>
    <xdr:sp macro="" textlink="">
      <xdr:nvSpPr>
        <xdr:cNvPr id="16" name="Rectangle: Rounded Corners 15">
          <a:hlinkClick xmlns:r="http://schemas.openxmlformats.org/officeDocument/2006/relationships" r:id="rId12"/>
          <a:extLst>
            <a:ext uri="{FF2B5EF4-FFF2-40B4-BE49-F238E27FC236}">
              <a16:creationId xmlns:a16="http://schemas.microsoft.com/office/drawing/2014/main" id="{00000000-0008-0000-0100-000010000000}"/>
            </a:ext>
          </a:extLst>
        </xdr:cNvPr>
        <xdr:cNvSpPr/>
      </xdr:nvSpPr>
      <xdr:spPr>
        <a:xfrm>
          <a:off x="1211064" y="5701390"/>
          <a:ext cx="3263623" cy="344714"/>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SWOT Analysis</a:t>
          </a:r>
        </a:p>
      </xdr:txBody>
    </xdr:sp>
    <xdr:clientData/>
  </xdr:twoCellAnchor>
  <xdr:twoCellAnchor>
    <xdr:from>
      <xdr:col>1</xdr:col>
      <xdr:colOff>598724</xdr:colOff>
      <xdr:row>28</xdr:row>
      <xdr:rowOff>149682</xdr:rowOff>
    </xdr:from>
    <xdr:to>
      <xdr:col>7</xdr:col>
      <xdr:colOff>188418</xdr:colOff>
      <xdr:row>30</xdr:row>
      <xdr:rowOff>86181</xdr:rowOff>
    </xdr:to>
    <xdr:sp macro="" textlink="">
      <xdr:nvSpPr>
        <xdr:cNvPr id="17" name="Rectangle: Rounded Corners 16">
          <a:hlinkClick xmlns:r="http://schemas.openxmlformats.org/officeDocument/2006/relationships" r:id="rId13"/>
          <a:extLst>
            <a:ext uri="{FF2B5EF4-FFF2-40B4-BE49-F238E27FC236}">
              <a16:creationId xmlns:a16="http://schemas.microsoft.com/office/drawing/2014/main" id="{00000000-0008-0000-0100-000011000000}"/>
            </a:ext>
          </a:extLst>
        </xdr:cNvPr>
        <xdr:cNvSpPr/>
      </xdr:nvSpPr>
      <xdr:spPr>
        <a:xfrm>
          <a:off x="1211045" y="6082396"/>
          <a:ext cx="3263623" cy="344714"/>
        </a:xfrm>
        <a:prstGeom prst="roundRect">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latin typeface="Arial Narrow" panose="020B0606020202030204" pitchFamily="34" charset="0"/>
            </a:rPr>
            <a:t>Products Details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685800</xdr:colOff>
          <xdr:row>44</xdr:row>
          <xdr:rowOff>0</xdr:rowOff>
        </xdr:from>
        <xdr:to>
          <xdr:col>5</xdr:col>
          <xdr:colOff>419100</xdr:colOff>
          <xdr:row>44</xdr:row>
          <xdr:rowOff>209550</xdr:rowOff>
        </xdr:to>
        <xdr:sp macro="" textlink="">
          <xdr:nvSpPr>
            <xdr:cNvPr id="4102" name="Scroll Bar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40</xdr:row>
          <xdr:rowOff>19050</xdr:rowOff>
        </xdr:from>
        <xdr:to>
          <xdr:col>6</xdr:col>
          <xdr:colOff>161925</xdr:colOff>
          <xdr:row>41</xdr:row>
          <xdr:rowOff>9525</xdr:rowOff>
        </xdr:to>
        <xdr:sp macro="" textlink="">
          <xdr:nvSpPr>
            <xdr:cNvPr id="4109" name="Drop Down 13" hidden="1">
              <a:extLst>
                <a:ext uri="{63B3BB69-23CF-44E3-9099-C40C66FF867C}">
                  <a14:compatExt spid="_x0000_s4109"/>
                </a:ext>
                <a:ext uri="{FF2B5EF4-FFF2-40B4-BE49-F238E27FC236}">
                  <a16:creationId xmlns:a16="http://schemas.microsoft.com/office/drawing/2014/main" id="{00000000-0008-0000-02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41</xdr:row>
          <xdr:rowOff>161925</xdr:rowOff>
        </xdr:from>
        <xdr:to>
          <xdr:col>6</xdr:col>
          <xdr:colOff>161925</xdr:colOff>
          <xdr:row>42</xdr:row>
          <xdr:rowOff>152400</xdr:rowOff>
        </xdr:to>
        <xdr:sp macro="" textlink="">
          <xdr:nvSpPr>
            <xdr:cNvPr id="4112" name="Drop Dow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161925</xdr:colOff>
      <xdr:row>0</xdr:row>
      <xdr:rowOff>123825</xdr:rowOff>
    </xdr:from>
    <xdr:to>
      <xdr:col>13</xdr:col>
      <xdr:colOff>47625</xdr:colOff>
      <xdr:row>14</xdr:row>
      <xdr:rowOff>142875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C70F0-B634-4B10-A9B6-8813C05889D7}">
  <sheetPr codeName="Sheet2"/>
  <dimension ref="A37:C40"/>
  <sheetViews>
    <sheetView workbookViewId="0">
      <selection activeCell="O27" sqref="O27"/>
    </sheetView>
  </sheetViews>
  <sheetFormatPr defaultColWidth="9.140625" defaultRowHeight="12.75" x14ac:dyDescent="0.2"/>
  <cols>
    <col min="1" max="1" width="14.140625" style="81" customWidth="1"/>
    <col min="2" max="2" width="24" style="81" customWidth="1"/>
    <col min="3" max="16384" width="9.140625" style="81"/>
  </cols>
  <sheetData>
    <row r="37" spans="1:3" ht="15" x14ac:dyDescent="0.25">
      <c r="A37" s="82" t="s">
        <v>187</v>
      </c>
      <c r="B37" s="83"/>
      <c r="C37" s="81" t="s">
        <v>188</v>
      </c>
    </row>
    <row r="38" spans="1:3" ht="15" x14ac:dyDescent="0.25">
      <c r="A38" s="82" t="s">
        <v>189</v>
      </c>
      <c r="B38" s="83"/>
    </row>
    <row r="39" spans="1:3" ht="15" x14ac:dyDescent="0.25">
      <c r="A39" s="82" t="s">
        <v>190</v>
      </c>
      <c r="B39" s="244"/>
    </row>
    <row r="40" spans="1:3" ht="15" x14ac:dyDescent="0.25">
      <c r="A40" s="82" t="s">
        <v>191</v>
      </c>
      <c r="B40" s="8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13A6B-77B2-43B2-ABF3-AB8D5CA9302B}">
  <sheetPr codeName="Sheet3"/>
  <dimension ref="B3:U39"/>
  <sheetViews>
    <sheetView showGridLines="0" zoomScale="70" zoomScaleNormal="70" workbookViewId="0">
      <selection activeCell="D37" sqref="D37"/>
    </sheetView>
  </sheetViews>
  <sheetFormatPr defaultColWidth="9.140625" defaultRowHeight="16.5" x14ac:dyDescent="0.3"/>
  <cols>
    <col min="1" max="16384" width="9.140625" style="1"/>
  </cols>
  <sheetData>
    <row r="3" spans="2:21" x14ac:dyDescent="0.3">
      <c r="B3" s="2"/>
      <c r="C3" s="2"/>
      <c r="D3" s="2"/>
      <c r="E3" s="2"/>
      <c r="F3" s="2"/>
      <c r="G3" s="2"/>
      <c r="H3" s="2"/>
      <c r="I3" s="2"/>
      <c r="J3" s="2"/>
      <c r="K3" s="2"/>
      <c r="L3" s="5"/>
      <c r="M3" s="2"/>
      <c r="N3" s="2"/>
      <c r="O3" s="2"/>
    </row>
    <row r="4" spans="2:21" x14ac:dyDescent="0.3">
      <c r="B4" s="2"/>
      <c r="C4" s="2"/>
      <c r="D4" s="2"/>
      <c r="E4" s="2"/>
      <c r="F4" s="2"/>
      <c r="G4" s="2"/>
      <c r="H4" s="2"/>
      <c r="I4" s="2"/>
      <c r="J4" s="2"/>
      <c r="K4" s="2"/>
      <c r="L4" s="5"/>
      <c r="M4" s="2"/>
      <c r="N4" s="2"/>
      <c r="O4" s="2"/>
    </row>
    <row r="5" spans="2:21" ht="5.0999999999999996" customHeight="1" x14ac:dyDescent="0.3">
      <c r="B5" s="2"/>
      <c r="C5" s="2"/>
      <c r="D5" s="2"/>
      <c r="E5" s="2"/>
      <c r="F5" s="2"/>
      <c r="G5" s="2"/>
      <c r="H5" s="2"/>
      <c r="I5" s="2"/>
      <c r="J5" s="2"/>
      <c r="K5" s="2"/>
      <c r="L5" s="2"/>
      <c r="M5" s="2"/>
      <c r="N5" s="2"/>
      <c r="O5" s="2"/>
    </row>
    <row r="6" spans="2:21" ht="33.75" x14ac:dyDescent="0.5">
      <c r="B6" s="2"/>
      <c r="C6" s="4" t="s">
        <v>95</v>
      </c>
      <c r="D6" s="2"/>
      <c r="E6" s="2"/>
      <c r="F6" s="2"/>
      <c r="G6" s="2"/>
      <c r="H6" s="2"/>
      <c r="I6" s="2"/>
      <c r="J6" s="2"/>
      <c r="K6" s="2"/>
      <c r="L6" s="2"/>
      <c r="M6" s="2"/>
      <c r="N6" s="2"/>
      <c r="O6" s="2"/>
    </row>
    <row r="7" spans="2:21" ht="27" x14ac:dyDescent="0.35">
      <c r="B7" s="2"/>
      <c r="C7" s="6" t="s">
        <v>330</v>
      </c>
      <c r="D7" s="2"/>
      <c r="E7" s="2"/>
      <c r="F7" s="2"/>
      <c r="G7" s="2"/>
      <c r="H7" s="2"/>
      <c r="I7" s="2"/>
      <c r="J7" s="2"/>
      <c r="K7" s="2"/>
      <c r="L7" s="2"/>
      <c r="M7" s="2"/>
      <c r="N7" s="2"/>
      <c r="O7" s="2"/>
    </row>
    <row r="8" spans="2:21" x14ac:dyDescent="0.3">
      <c r="B8" s="2"/>
      <c r="C8" s="2"/>
      <c r="D8" s="2"/>
      <c r="E8" s="2"/>
      <c r="F8" s="2"/>
      <c r="G8" s="2"/>
      <c r="H8" s="2"/>
      <c r="I8" s="2"/>
      <c r="J8" s="2"/>
      <c r="K8" s="2"/>
      <c r="L8" s="2"/>
      <c r="M8" s="2"/>
      <c r="N8" s="2"/>
      <c r="O8" s="2"/>
    </row>
    <row r="9" spans="2:21" x14ac:dyDescent="0.3">
      <c r="B9" s="2"/>
      <c r="C9" s="2"/>
      <c r="D9" s="2"/>
      <c r="E9" s="2"/>
      <c r="F9" s="2"/>
      <c r="G9" s="2"/>
      <c r="H9" s="2"/>
      <c r="I9" s="2"/>
      <c r="J9" s="2"/>
      <c r="K9" s="2"/>
      <c r="L9" s="2"/>
      <c r="M9" s="2"/>
      <c r="N9" s="2"/>
      <c r="O9" s="2"/>
    </row>
    <row r="10" spans="2:21" x14ac:dyDescent="0.3">
      <c r="B10" s="2"/>
      <c r="C10" s="2"/>
      <c r="D10" s="2"/>
      <c r="E10" s="2"/>
      <c r="F10" s="2"/>
      <c r="G10" s="2"/>
      <c r="H10" s="2"/>
      <c r="I10" s="2"/>
      <c r="J10" s="2"/>
      <c r="K10" s="2"/>
      <c r="L10" s="2"/>
      <c r="M10" s="2"/>
      <c r="N10" s="2"/>
      <c r="O10" s="2"/>
    </row>
    <row r="11" spans="2:21" x14ac:dyDescent="0.3">
      <c r="B11" s="2"/>
      <c r="C11" s="2"/>
      <c r="D11" s="2"/>
      <c r="E11" s="2"/>
      <c r="F11" s="2"/>
      <c r="G11" s="2"/>
      <c r="H11" s="2"/>
      <c r="I11" s="2"/>
      <c r="J11" s="2"/>
      <c r="K11" s="2"/>
      <c r="L11" s="2"/>
      <c r="M11" s="2"/>
      <c r="N11" s="2"/>
      <c r="O11" s="2"/>
    </row>
    <row r="12" spans="2:21" x14ac:dyDescent="0.3">
      <c r="B12" s="2"/>
      <c r="C12" s="2"/>
      <c r="D12" s="2"/>
      <c r="E12" s="2"/>
      <c r="F12" s="2"/>
      <c r="G12" s="2"/>
      <c r="H12" s="2"/>
      <c r="I12" s="2"/>
      <c r="J12" s="2"/>
      <c r="K12" s="2"/>
      <c r="L12" s="2"/>
      <c r="M12" s="2"/>
      <c r="N12" s="2"/>
      <c r="O12" s="2"/>
      <c r="U12" s="3"/>
    </row>
    <row r="13" spans="2:21" x14ac:dyDescent="0.3">
      <c r="B13" s="2"/>
      <c r="C13" s="2"/>
      <c r="D13" s="2"/>
      <c r="E13" s="2"/>
      <c r="F13" s="2"/>
      <c r="G13" s="2"/>
      <c r="H13" s="2"/>
      <c r="I13" s="2"/>
      <c r="J13" s="2"/>
      <c r="K13" s="2"/>
      <c r="L13" s="2"/>
      <c r="M13" s="2"/>
      <c r="N13" s="2"/>
      <c r="O13" s="2"/>
    </row>
    <row r="14" spans="2:21" x14ac:dyDescent="0.3">
      <c r="B14" s="2"/>
      <c r="C14" s="2"/>
      <c r="D14" s="2"/>
      <c r="E14" s="2"/>
      <c r="F14" s="2"/>
      <c r="G14" s="2"/>
      <c r="H14" s="2"/>
      <c r="I14" s="2"/>
      <c r="J14" s="2"/>
      <c r="K14" s="2"/>
      <c r="L14" s="2"/>
      <c r="M14" s="2"/>
      <c r="N14" s="2"/>
      <c r="O14" s="2"/>
    </row>
    <row r="15" spans="2:21" x14ac:dyDescent="0.3">
      <c r="B15" s="2"/>
      <c r="C15" s="2"/>
      <c r="D15" s="2"/>
      <c r="E15" s="2"/>
      <c r="F15" s="2"/>
      <c r="G15" s="2"/>
      <c r="H15" s="2"/>
      <c r="I15" s="2"/>
      <c r="J15" s="2"/>
      <c r="K15" s="2"/>
      <c r="L15" s="2"/>
      <c r="M15" s="2"/>
      <c r="N15" s="2"/>
      <c r="O15" s="2"/>
    </row>
    <row r="16" spans="2:21" x14ac:dyDescent="0.3">
      <c r="B16" s="2"/>
      <c r="C16" s="2"/>
      <c r="D16" s="2"/>
      <c r="E16" s="2"/>
      <c r="F16" s="2"/>
      <c r="G16" s="2"/>
      <c r="H16" s="2"/>
      <c r="I16" s="2"/>
      <c r="J16" s="2"/>
      <c r="K16" s="2"/>
      <c r="L16" s="2"/>
      <c r="M16" s="2"/>
      <c r="N16" s="2"/>
      <c r="O16" s="2"/>
    </row>
    <row r="17" spans="2:15" x14ac:dyDescent="0.3">
      <c r="B17" s="2"/>
      <c r="C17" s="2"/>
      <c r="D17" s="2"/>
      <c r="E17" s="2"/>
      <c r="F17" s="2"/>
      <c r="G17" s="2"/>
      <c r="H17" s="2"/>
      <c r="I17" s="2"/>
      <c r="J17" s="2"/>
      <c r="K17" s="2"/>
      <c r="L17" s="2"/>
      <c r="M17" s="2"/>
      <c r="N17" s="2"/>
      <c r="O17" s="2"/>
    </row>
    <row r="18" spans="2:15" x14ac:dyDescent="0.3">
      <c r="B18" s="2"/>
      <c r="C18" s="2"/>
      <c r="D18" s="2"/>
      <c r="E18" s="2"/>
      <c r="F18" s="2"/>
      <c r="G18" s="2"/>
      <c r="H18" s="2"/>
      <c r="I18" s="2"/>
      <c r="J18" s="2"/>
      <c r="K18" s="2"/>
      <c r="L18" s="2"/>
      <c r="M18" s="2"/>
      <c r="N18" s="2"/>
      <c r="O18" s="2"/>
    </row>
    <row r="19" spans="2:15" x14ac:dyDescent="0.3">
      <c r="B19" s="2"/>
      <c r="C19" s="2"/>
      <c r="D19" s="2"/>
      <c r="E19" s="2"/>
      <c r="F19" s="2"/>
      <c r="G19" s="2"/>
      <c r="H19" s="2"/>
      <c r="I19" s="2"/>
      <c r="J19" s="2"/>
      <c r="K19" s="2"/>
      <c r="L19" s="2"/>
      <c r="M19" s="2"/>
      <c r="N19" s="2"/>
      <c r="O19" s="2"/>
    </row>
    <row r="20" spans="2:15" x14ac:dyDescent="0.3">
      <c r="B20" s="2"/>
      <c r="C20" s="2"/>
      <c r="D20" s="2"/>
      <c r="E20" s="2"/>
      <c r="F20" s="2"/>
      <c r="G20" s="2"/>
      <c r="H20" s="2"/>
      <c r="I20" s="2"/>
      <c r="J20" s="2"/>
      <c r="K20" s="2"/>
      <c r="L20" s="2"/>
      <c r="M20" s="2"/>
      <c r="N20" s="2"/>
      <c r="O20" s="2"/>
    </row>
    <row r="21" spans="2:15" x14ac:dyDescent="0.3">
      <c r="B21" s="2"/>
      <c r="C21" s="2"/>
      <c r="D21" s="2"/>
      <c r="E21" s="2"/>
      <c r="F21" s="2"/>
      <c r="G21" s="2"/>
      <c r="H21" s="2"/>
      <c r="I21" s="2"/>
      <c r="J21" s="2"/>
      <c r="K21" s="2"/>
      <c r="L21" s="2"/>
      <c r="M21" s="2"/>
      <c r="N21" s="2"/>
      <c r="O21" s="2"/>
    </row>
    <row r="22" spans="2:15" x14ac:dyDescent="0.3">
      <c r="B22" s="2"/>
      <c r="C22" s="2"/>
      <c r="D22" s="2"/>
      <c r="E22" s="2"/>
      <c r="F22" s="2"/>
      <c r="G22" s="2"/>
      <c r="H22" s="2"/>
      <c r="I22" s="2"/>
      <c r="J22" s="2"/>
      <c r="K22" s="2"/>
      <c r="L22" s="2"/>
      <c r="M22" s="2"/>
      <c r="N22" s="2"/>
      <c r="O22" s="2"/>
    </row>
    <row r="23" spans="2:15" x14ac:dyDescent="0.3">
      <c r="B23" s="2"/>
      <c r="C23" s="2"/>
      <c r="D23" s="2"/>
      <c r="E23" s="2"/>
      <c r="F23" s="2"/>
      <c r="G23" s="2"/>
      <c r="H23" s="2"/>
      <c r="I23" s="2"/>
      <c r="J23" s="2"/>
      <c r="K23" s="2"/>
      <c r="L23" s="2"/>
      <c r="M23" s="2"/>
      <c r="N23" s="2"/>
      <c r="O23" s="2"/>
    </row>
    <row r="24" spans="2:15" x14ac:dyDescent="0.3">
      <c r="B24" s="2"/>
      <c r="C24" s="2"/>
      <c r="D24" s="2"/>
      <c r="E24" s="2"/>
      <c r="F24" s="2"/>
      <c r="G24" s="2"/>
      <c r="H24" s="2"/>
      <c r="I24" s="2"/>
      <c r="J24" s="2"/>
      <c r="K24" s="2"/>
      <c r="L24" s="2"/>
      <c r="M24" s="2"/>
      <c r="N24" s="2"/>
      <c r="O24" s="2"/>
    </row>
    <row r="25" spans="2:15" x14ac:dyDescent="0.3">
      <c r="B25" s="2"/>
      <c r="C25" s="2"/>
      <c r="D25" s="2"/>
      <c r="E25" s="2"/>
      <c r="F25" s="2"/>
      <c r="G25" s="2"/>
      <c r="H25" s="2"/>
      <c r="I25" s="2"/>
      <c r="J25" s="2"/>
      <c r="K25" s="2"/>
      <c r="L25" s="2"/>
      <c r="M25" s="2"/>
      <c r="N25" s="2"/>
      <c r="O25" s="2"/>
    </row>
    <row r="26" spans="2:15" x14ac:dyDescent="0.3">
      <c r="B26" s="2"/>
      <c r="C26" s="2"/>
      <c r="D26" s="2"/>
      <c r="E26" s="2"/>
      <c r="F26" s="2"/>
      <c r="G26" s="2"/>
      <c r="H26" s="2"/>
      <c r="I26" s="2"/>
      <c r="J26" s="2"/>
      <c r="K26" s="2"/>
      <c r="L26" s="2"/>
      <c r="M26" s="2"/>
      <c r="N26" s="2"/>
      <c r="O26" s="2"/>
    </row>
    <row r="27" spans="2:15" x14ac:dyDescent="0.3">
      <c r="B27" s="2"/>
      <c r="C27" s="2"/>
      <c r="D27" s="2"/>
      <c r="E27" s="2"/>
      <c r="F27" s="2"/>
      <c r="G27" s="2"/>
      <c r="H27" s="2"/>
      <c r="I27" s="2"/>
      <c r="J27" s="2"/>
      <c r="K27" s="2"/>
      <c r="L27" s="2"/>
      <c r="M27" s="2"/>
      <c r="N27" s="2"/>
      <c r="O27" s="2"/>
    </row>
    <row r="28" spans="2:15" x14ac:dyDescent="0.3">
      <c r="B28" s="2"/>
      <c r="C28" s="2"/>
      <c r="D28" s="2"/>
      <c r="E28" s="2"/>
      <c r="F28" s="2"/>
      <c r="G28" s="2"/>
      <c r="H28" s="2"/>
      <c r="I28" s="2"/>
      <c r="J28" s="2"/>
      <c r="K28" s="2"/>
      <c r="L28" s="2"/>
      <c r="M28" s="2"/>
      <c r="N28" s="2"/>
      <c r="O28" s="2"/>
    </row>
    <row r="29" spans="2:15" x14ac:dyDescent="0.3">
      <c r="B29" s="2"/>
      <c r="C29" s="2"/>
      <c r="D29" s="2"/>
      <c r="E29" s="2"/>
      <c r="F29" s="2"/>
      <c r="G29" s="2"/>
      <c r="H29" s="2"/>
      <c r="I29" s="2"/>
      <c r="J29" s="2"/>
      <c r="K29" s="2"/>
      <c r="L29" s="2"/>
      <c r="M29" s="2"/>
      <c r="N29" s="2"/>
      <c r="O29" s="2"/>
    </row>
    <row r="30" spans="2:15" x14ac:dyDescent="0.3">
      <c r="B30" s="2"/>
      <c r="C30" s="2"/>
      <c r="D30" s="2"/>
      <c r="E30" s="2"/>
      <c r="F30" s="2"/>
      <c r="G30" s="2"/>
      <c r="H30" s="2"/>
      <c r="I30" s="2"/>
      <c r="J30" s="2"/>
      <c r="K30" s="2"/>
      <c r="L30" s="2"/>
      <c r="M30" s="2"/>
      <c r="N30" s="2"/>
      <c r="O30" s="2"/>
    </row>
    <row r="31" spans="2:15" x14ac:dyDescent="0.3">
      <c r="B31" s="2"/>
      <c r="C31" s="2"/>
      <c r="D31" s="2"/>
      <c r="E31" s="2"/>
      <c r="F31" s="2"/>
      <c r="G31" s="2"/>
      <c r="H31" s="2"/>
      <c r="I31" s="2"/>
      <c r="J31" s="2"/>
      <c r="K31" s="2"/>
      <c r="L31" s="2"/>
      <c r="M31" s="2"/>
      <c r="N31" s="2"/>
      <c r="O31" s="2"/>
    </row>
    <row r="32" spans="2:15" x14ac:dyDescent="0.3">
      <c r="B32" s="2"/>
      <c r="C32" s="2"/>
      <c r="D32" s="2"/>
      <c r="E32" s="2"/>
      <c r="F32" s="2"/>
      <c r="G32" s="2"/>
      <c r="H32" s="2"/>
      <c r="I32" s="2"/>
      <c r="J32" s="2"/>
      <c r="K32" s="2"/>
      <c r="L32" s="2"/>
      <c r="M32" s="2"/>
      <c r="N32" s="2"/>
      <c r="O32" s="2"/>
    </row>
    <row r="33" spans="2:15" x14ac:dyDescent="0.3">
      <c r="B33" s="2"/>
      <c r="C33" s="2"/>
      <c r="D33" s="2"/>
      <c r="E33" s="2"/>
      <c r="F33" s="2"/>
      <c r="G33" s="2"/>
      <c r="H33" s="2"/>
      <c r="I33" s="2"/>
      <c r="J33" s="2"/>
      <c r="K33" s="2"/>
      <c r="L33" s="2"/>
      <c r="M33" s="2"/>
      <c r="N33" s="2"/>
      <c r="O33" s="2"/>
    </row>
    <row r="34" spans="2:15" x14ac:dyDescent="0.3">
      <c r="B34" s="2"/>
      <c r="C34" s="2"/>
      <c r="D34" s="2"/>
      <c r="E34" s="2"/>
      <c r="F34" s="2"/>
      <c r="G34" s="2"/>
      <c r="H34" s="2"/>
      <c r="I34" s="2"/>
      <c r="J34" s="2"/>
      <c r="K34" s="2"/>
      <c r="L34" s="2"/>
      <c r="M34" s="2"/>
      <c r="N34" s="2"/>
      <c r="O34" s="2"/>
    </row>
    <row r="35" spans="2:15" x14ac:dyDescent="0.3">
      <c r="B35" s="2"/>
      <c r="C35" s="2"/>
      <c r="D35" s="2"/>
      <c r="E35" s="2"/>
      <c r="F35" s="2"/>
      <c r="G35" s="2"/>
      <c r="H35" s="2"/>
      <c r="I35" s="2"/>
      <c r="J35" s="2"/>
      <c r="K35" s="2"/>
      <c r="L35" s="2"/>
      <c r="M35" s="2"/>
      <c r="N35" s="2"/>
      <c r="O35" s="2"/>
    </row>
    <row r="36" spans="2:15" x14ac:dyDescent="0.3">
      <c r="B36" s="2"/>
      <c r="C36" s="2"/>
      <c r="D36" s="2"/>
      <c r="E36" s="2"/>
      <c r="F36" s="2"/>
      <c r="G36" s="2"/>
      <c r="H36" s="2"/>
      <c r="I36" s="2"/>
      <c r="J36" s="2"/>
      <c r="K36" s="2"/>
      <c r="L36" s="2"/>
      <c r="M36" s="2"/>
      <c r="N36" s="2"/>
      <c r="O36" s="2"/>
    </row>
    <row r="37" spans="2:15" x14ac:dyDescent="0.3">
      <c r="B37" s="2"/>
      <c r="C37" s="2"/>
      <c r="D37" s="2"/>
      <c r="E37" s="2"/>
      <c r="F37" s="2"/>
      <c r="G37" s="2"/>
      <c r="H37" s="2"/>
      <c r="I37" s="2"/>
      <c r="J37" s="2"/>
      <c r="K37" s="2"/>
      <c r="L37" s="2"/>
      <c r="M37" s="2"/>
      <c r="N37" s="2"/>
      <c r="O37" s="2"/>
    </row>
    <row r="38" spans="2:15" x14ac:dyDescent="0.3">
      <c r="B38" s="2"/>
      <c r="C38" s="2"/>
      <c r="D38" s="2"/>
      <c r="E38" s="2"/>
      <c r="F38" s="2"/>
      <c r="G38" s="2"/>
      <c r="H38" s="2"/>
      <c r="I38" s="2"/>
      <c r="J38" s="2"/>
      <c r="K38" s="2"/>
      <c r="L38" s="2"/>
      <c r="M38" s="2"/>
      <c r="N38" s="2"/>
      <c r="O38" s="2"/>
    </row>
    <row r="39" spans="2:15" x14ac:dyDescent="0.3">
      <c r="B39" s="2"/>
      <c r="C39" s="2"/>
      <c r="D39" s="2"/>
      <c r="E39" s="2"/>
      <c r="F39" s="2"/>
      <c r="G39" s="2"/>
      <c r="H39" s="2"/>
      <c r="I39" s="2"/>
      <c r="J39" s="2"/>
      <c r="K39" s="2"/>
      <c r="L39" s="2"/>
      <c r="M39" s="2"/>
      <c r="N39" s="2"/>
      <c r="O39" s="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62E4F-6E26-46F8-BE37-9E2367499825}">
  <sheetPr codeName="Sheet1"/>
  <dimension ref="B1:AV109"/>
  <sheetViews>
    <sheetView showGridLines="0" topLeftCell="A36" zoomScale="70" zoomScaleNormal="70" workbookViewId="0">
      <selection activeCell="DD45" sqref="DD45"/>
    </sheetView>
  </sheetViews>
  <sheetFormatPr defaultColWidth="9.140625" defaultRowHeight="16.5" x14ac:dyDescent="0.3"/>
  <cols>
    <col min="1" max="1" width="9.140625" style="1"/>
    <col min="2" max="6" width="15.7109375" style="1" customWidth="1"/>
    <col min="7" max="7" width="9.140625" style="1"/>
    <col min="8" max="8" width="19.140625" style="1" customWidth="1"/>
    <col min="9" max="14" width="9.140625" style="1"/>
    <col min="15" max="15" width="0" style="1" hidden="1" customWidth="1"/>
    <col min="16" max="16" width="9.85546875" style="1" hidden="1" customWidth="1"/>
    <col min="17" max="17" width="10" style="1" hidden="1" customWidth="1"/>
    <col min="18" max="21" width="9.28515625" style="1" hidden="1" customWidth="1"/>
    <col min="22" max="23" width="11" style="1" hidden="1" customWidth="1"/>
    <col min="24" max="31" width="0" style="1" hidden="1" customWidth="1"/>
    <col min="32" max="32" width="10" style="1" hidden="1" customWidth="1"/>
    <col min="33" max="104" width="0" style="1" hidden="1" customWidth="1"/>
    <col min="105" max="16384" width="9.140625" style="1"/>
  </cols>
  <sheetData>
    <row r="1" spans="2:48" ht="5.0999999999999996" customHeight="1" x14ac:dyDescent="0.3"/>
    <row r="2" spans="2:48" ht="5.0999999999999996" customHeight="1" x14ac:dyDescent="0.3"/>
    <row r="3" spans="2:48" ht="20.25" x14ac:dyDescent="0.3">
      <c r="B3" s="68" t="s">
        <v>258</v>
      </c>
      <c r="C3" s="68"/>
      <c r="D3" s="68"/>
      <c r="E3" s="68"/>
      <c r="F3" s="200"/>
      <c r="G3" s="200"/>
      <c r="H3" s="200"/>
      <c r="I3" s="200"/>
      <c r="J3" s="200"/>
      <c r="K3" s="200"/>
      <c r="L3" s="200"/>
      <c r="M3" s="200"/>
    </row>
    <row r="4" spans="2:48" ht="21.95" customHeight="1" x14ac:dyDescent="0.3">
      <c r="B4" s="327" t="s">
        <v>427</v>
      </c>
      <c r="C4" s="327"/>
      <c r="D4" s="327"/>
      <c r="E4" s="327"/>
      <c r="F4" s="327"/>
      <c r="G4" s="327"/>
      <c r="H4" s="327"/>
      <c r="I4" s="327"/>
      <c r="J4" s="327"/>
      <c r="K4" s="327"/>
      <c r="L4" s="327"/>
      <c r="M4" s="327"/>
    </row>
    <row r="5" spans="2:48" ht="21.95" customHeight="1" x14ac:dyDescent="0.3">
      <c r="B5" s="327"/>
      <c r="C5" s="327"/>
      <c r="D5" s="327"/>
      <c r="E5" s="327"/>
      <c r="F5" s="327"/>
      <c r="G5" s="327"/>
      <c r="H5" s="327"/>
      <c r="I5" s="327"/>
      <c r="J5" s="327"/>
      <c r="K5" s="327"/>
      <c r="L5" s="327"/>
      <c r="M5" s="327"/>
    </row>
    <row r="6" spans="2:48" ht="21.95" customHeight="1" x14ac:dyDescent="0.3">
      <c r="B6" s="327"/>
      <c r="C6" s="327"/>
      <c r="D6" s="327"/>
      <c r="E6" s="327"/>
      <c r="F6" s="327"/>
      <c r="G6" s="327"/>
      <c r="H6" s="327"/>
      <c r="I6" s="327"/>
      <c r="J6" s="327"/>
      <c r="K6" s="327"/>
      <c r="L6" s="327"/>
      <c r="M6" s="327"/>
      <c r="AV6" s="3"/>
    </row>
    <row r="7" spans="2:48" ht="21.95" customHeight="1" x14ac:dyDescent="0.3">
      <c r="B7" s="327"/>
      <c r="C7" s="327"/>
      <c r="D7" s="327"/>
      <c r="E7" s="327"/>
      <c r="F7" s="327"/>
      <c r="G7" s="327"/>
      <c r="H7" s="327"/>
      <c r="I7" s="327"/>
      <c r="J7" s="327"/>
      <c r="K7" s="327"/>
      <c r="L7" s="327"/>
      <c r="M7" s="327"/>
      <c r="AV7" s="3"/>
    </row>
    <row r="8" spans="2:48" ht="20.100000000000001" customHeight="1" x14ac:dyDescent="0.3">
      <c r="B8" s="327"/>
      <c r="C8" s="327"/>
      <c r="D8" s="327"/>
      <c r="E8" s="327"/>
      <c r="F8" s="327"/>
      <c r="G8" s="327"/>
      <c r="H8" s="327"/>
      <c r="I8" s="327"/>
      <c r="J8" s="327"/>
      <c r="K8" s="327"/>
      <c r="L8" s="327"/>
      <c r="M8" s="327"/>
      <c r="AV8" s="3"/>
    </row>
    <row r="9" spans="2:48" ht="20.25" x14ac:dyDescent="0.3">
      <c r="B9" s="219" t="s">
        <v>280</v>
      </c>
      <c r="C9" s="68"/>
      <c r="D9" s="68"/>
      <c r="E9" s="68"/>
      <c r="F9" s="200"/>
      <c r="G9" s="200"/>
      <c r="H9" s="200"/>
      <c r="I9" s="200"/>
      <c r="J9" s="200"/>
      <c r="K9" s="200"/>
      <c r="L9" s="200"/>
      <c r="M9" s="200"/>
      <c r="AA9" s="1" t="s">
        <v>253</v>
      </c>
    </row>
    <row r="10" spans="2:48" ht="16.5" customHeight="1" x14ac:dyDescent="0.3">
      <c r="B10" s="327" t="s">
        <v>114</v>
      </c>
      <c r="C10" s="327"/>
      <c r="D10" s="327"/>
      <c r="E10" s="327"/>
      <c r="F10" s="327"/>
      <c r="G10" s="327"/>
      <c r="H10" s="327"/>
      <c r="I10" s="327"/>
      <c r="J10" s="327"/>
      <c r="K10" s="327"/>
      <c r="L10" s="327"/>
      <c r="M10" s="327"/>
      <c r="AA10" s="1" t="s">
        <v>254</v>
      </c>
    </row>
    <row r="11" spans="2:48" ht="16.5" customHeight="1" x14ac:dyDescent="0.3">
      <c r="B11" s="327"/>
      <c r="C11" s="327"/>
      <c r="D11" s="327"/>
      <c r="E11" s="327"/>
      <c r="F11" s="327"/>
      <c r="G11" s="327"/>
      <c r="H11" s="327"/>
      <c r="I11" s="327"/>
      <c r="J11" s="327"/>
      <c r="K11" s="327"/>
      <c r="L11" s="327"/>
      <c r="M11" s="327"/>
      <c r="AA11" s="1" t="s">
        <v>255</v>
      </c>
    </row>
    <row r="12" spans="2:48" ht="16.5" customHeight="1" x14ac:dyDescent="0.3">
      <c r="B12" s="327"/>
      <c r="C12" s="327"/>
      <c r="D12" s="327"/>
      <c r="E12" s="327"/>
      <c r="F12" s="327"/>
      <c r="G12" s="327"/>
      <c r="H12" s="327"/>
      <c r="I12" s="327"/>
      <c r="J12" s="327"/>
      <c r="K12" s="327"/>
      <c r="L12" s="327"/>
      <c r="M12" s="327"/>
      <c r="AA12" s="1" t="s">
        <v>393</v>
      </c>
    </row>
    <row r="13" spans="2:48" x14ac:dyDescent="0.3">
      <c r="B13" s="327"/>
      <c r="C13" s="327"/>
      <c r="D13" s="327"/>
      <c r="E13" s="327"/>
      <c r="F13" s="327"/>
      <c r="G13" s="327"/>
      <c r="H13" s="327"/>
      <c r="I13" s="327"/>
      <c r="J13" s="327"/>
      <c r="K13" s="327"/>
      <c r="L13" s="327"/>
      <c r="M13" s="327"/>
    </row>
    <row r="14" spans="2:48" x14ac:dyDescent="0.3">
      <c r="B14" s="327"/>
      <c r="C14" s="327"/>
      <c r="D14" s="327"/>
      <c r="E14" s="327"/>
      <c r="F14" s="327"/>
      <c r="G14" s="327"/>
      <c r="H14" s="327"/>
      <c r="I14" s="327"/>
      <c r="J14" s="327"/>
      <c r="K14" s="327"/>
      <c r="L14" s="327"/>
      <c r="M14" s="327"/>
    </row>
    <row r="15" spans="2:48" ht="20.25" x14ac:dyDescent="0.3">
      <c r="B15" s="219" t="s">
        <v>115</v>
      </c>
      <c r="C15" s="68"/>
      <c r="D15" s="68"/>
      <c r="E15" s="68"/>
      <c r="F15" s="218"/>
      <c r="G15" s="218"/>
      <c r="H15" s="218"/>
      <c r="I15" s="218"/>
      <c r="J15" s="218"/>
      <c r="K15" s="218"/>
      <c r="L15" s="218"/>
      <c r="M15" s="218"/>
    </row>
    <row r="16" spans="2:48" ht="15.95" customHeight="1" x14ac:dyDescent="0.3">
      <c r="B16" s="331" t="s">
        <v>395</v>
      </c>
      <c r="C16" s="331"/>
      <c r="D16" s="331"/>
      <c r="E16" s="331"/>
      <c r="F16" s="331"/>
      <c r="G16" s="331"/>
      <c r="H16" s="331"/>
      <c r="I16" s="331"/>
      <c r="J16" s="331"/>
      <c r="K16" s="331"/>
      <c r="L16" s="331"/>
      <c r="M16" s="331"/>
    </row>
    <row r="17" spans="2:27" x14ac:dyDescent="0.3">
      <c r="B17" s="331"/>
      <c r="C17" s="331"/>
      <c r="D17" s="331"/>
      <c r="E17" s="331"/>
      <c r="F17" s="331"/>
      <c r="G17" s="331"/>
      <c r="H17" s="331"/>
      <c r="I17" s="331"/>
      <c r="J17" s="331"/>
      <c r="K17" s="331"/>
      <c r="L17" s="331"/>
      <c r="M17" s="331"/>
    </row>
    <row r="18" spans="2:27" x14ac:dyDescent="0.3">
      <c r="B18" s="331"/>
      <c r="C18" s="331"/>
      <c r="D18" s="331"/>
      <c r="E18" s="331"/>
      <c r="F18" s="331"/>
      <c r="G18" s="331"/>
      <c r="H18" s="331"/>
      <c r="I18" s="331"/>
      <c r="J18" s="331"/>
      <c r="K18" s="331"/>
      <c r="L18" s="331"/>
      <c r="M18" s="331"/>
    </row>
    <row r="19" spans="2:27" x14ac:dyDescent="0.3">
      <c r="B19" s="331"/>
      <c r="C19" s="331"/>
      <c r="D19" s="331"/>
      <c r="E19" s="331"/>
      <c r="F19" s="331"/>
      <c r="G19" s="331"/>
      <c r="H19" s="331"/>
      <c r="I19" s="331"/>
      <c r="J19" s="331"/>
      <c r="K19" s="331"/>
      <c r="L19" s="331"/>
      <c r="M19" s="331"/>
    </row>
    <row r="20" spans="2:27" x14ac:dyDescent="0.3">
      <c r="B20" s="332"/>
      <c r="C20" s="332"/>
      <c r="D20" s="332"/>
      <c r="E20" s="332"/>
      <c r="F20" s="332"/>
      <c r="G20" s="332"/>
      <c r="H20" s="332"/>
      <c r="I20" s="332"/>
      <c r="J20" s="332"/>
      <c r="K20" s="332"/>
      <c r="L20" s="332"/>
      <c r="M20" s="332"/>
    </row>
    <row r="21" spans="2:27" ht="5.0999999999999996" customHeight="1" x14ac:dyDescent="0.3">
      <c r="B21" s="265"/>
      <c r="C21" s="265"/>
      <c r="D21" s="265"/>
      <c r="E21" s="265"/>
      <c r="F21" s="265"/>
      <c r="G21" s="265"/>
      <c r="H21" s="265"/>
      <c r="I21" s="265"/>
      <c r="J21" s="265"/>
      <c r="K21" s="265"/>
      <c r="L21" s="265"/>
      <c r="M21" s="265"/>
    </row>
    <row r="22" spans="2:27" ht="21" thickBot="1" x14ac:dyDescent="0.35">
      <c r="B22" s="219" t="s">
        <v>281</v>
      </c>
      <c r="C22" s="68"/>
      <c r="D22" s="68"/>
      <c r="E22" s="68"/>
      <c r="F22" s="237"/>
      <c r="G22" s="237"/>
      <c r="H22" s="237"/>
      <c r="I22" s="237"/>
      <c r="J22" s="237"/>
      <c r="K22" s="237"/>
      <c r="L22" s="237"/>
      <c r="M22" s="237"/>
    </row>
    <row r="23" spans="2:27" ht="21" thickBot="1" x14ac:dyDescent="0.35">
      <c r="B23" s="328" t="s">
        <v>256</v>
      </c>
      <c r="C23" s="329"/>
      <c r="D23" s="329"/>
      <c r="E23" s="329"/>
      <c r="F23" s="329"/>
      <c r="G23" s="330"/>
      <c r="H23" s="328" t="s">
        <v>257</v>
      </c>
      <c r="I23" s="329"/>
      <c r="J23" s="329"/>
      <c r="K23" s="329"/>
      <c r="L23" s="329"/>
      <c r="M23" s="330"/>
    </row>
    <row r="24" spans="2:27" ht="20.100000000000001" customHeight="1" x14ac:dyDescent="0.3">
      <c r="B24" s="333" t="s">
        <v>282</v>
      </c>
      <c r="C24" s="334"/>
      <c r="D24" s="334"/>
      <c r="E24" s="334"/>
      <c r="F24" s="241"/>
      <c r="G24" s="242"/>
      <c r="H24" s="307" t="s">
        <v>253</v>
      </c>
      <c r="I24" s="238"/>
      <c r="J24" s="238"/>
      <c r="K24" s="238"/>
      <c r="L24" s="238"/>
      <c r="M24" s="239"/>
      <c r="N24" s="216"/>
      <c r="O24" s="216"/>
      <c r="Q24" s="1" t="str" cm="1">
        <f t="array" aca="1" ref="Q24" ca="1">INDIRECT((ADDRESS(1,1,,,INDIRECT("H24"))))</f>
        <v>GILEAD SCIENCE INC.</v>
      </c>
      <c r="AA24" s="305"/>
    </row>
    <row r="25" spans="2:27" ht="16.5" customHeight="1" x14ac:dyDescent="0.3">
      <c r="B25" s="335" t="s">
        <v>396</v>
      </c>
      <c r="C25" s="336"/>
      <c r="D25" s="336"/>
      <c r="E25" s="336"/>
      <c r="F25" s="336"/>
      <c r="G25" s="337"/>
      <c r="H25" s="324" t="s">
        <v>397</v>
      </c>
      <c r="I25" s="325"/>
      <c r="J25" s="325"/>
      <c r="K25" s="200"/>
      <c r="L25" s="200"/>
      <c r="M25" s="217"/>
      <c r="N25" s="216"/>
      <c r="O25" s="216"/>
    </row>
    <row r="26" spans="2:27" ht="16.5" customHeight="1" x14ac:dyDescent="0.3">
      <c r="B26" s="335"/>
      <c r="C26" s="336"/>
      <c r="D26" s="336"/>
      <c r="E26" s="336"/>
      <c r="F26" s="336"/>
      <c r="G26" s="337"/>
      <c r="H26" s="324"/>
      <c r="I26" s="325"/>
      <c r="J26" s="325"/>
      <c r="K26" s="200"/>
      <c r="L26" s="200"/>
      <c r="M26" s="217"/>
      <c r="N26" s="216"/>
      <c r="O26" s="216"/>
    </row>
    <row r="27" spans="2:27" ht="16.5" customHeight="1" x14ac:dyDescent="0.3">
      <c r="B27" s="335"/>
      <c r="C27" s="336"/>
      <c r="D27" s="336"/>
      <c r="E27" s="336"/>
      <c r="F27" s="336"/>
      <c r="G27" s="337"/>
      <c r="H27" s="324"/>
      <c r="I27" s="325"/>
      <c r="J27" s="325"/>
      <c r="K27" s="200"/>
      <c r="L27" s="200"/>
      <c r="M27" s="217"/>
      <c r="N27" s="216"/>
      <c r="O27" s="216"/>
    </row>
    <row r="28" spans="2:27" ht="20.100000000000001" customHeight="1" x14ac:dyDescent="0.3">
      <c r="B28" s="322" t="s">
        <v>283</v>
      </c>
      <c r="C28" s="323"/>
      <c r="D28" s="323"/>
      <c r="E28" s="323"/>
      <c r="F28" s="251"/>
      <c r="G28" s="252"/>
      <c r="H28" s="253"/>
      <c r="I28" s="251"/>
      <c r="J28" s="251"/>
      <c r="K28" s="251"/>
      <c r="L28" s="251"/>
      <c r="M28" s="254"/>
      <c r="N28" s="216"/>
      <c r="O28" s="216"/>
    </row>
    <row r="29" spans="2:27" ht="15" customHeight="1" x14ac:dyDescent="0.3">
      <c r="B29" s="338" t="s">
        <v>394</v>
      </c>
      <c r="C29" s="327"/>
      <c r="D29" s="327"/>
      <c r="E29" s="327"/>
      <c r="F29" s="327"/>
      <c r="G29" s="339"/>
      <c r="H29" s="215"/>
      <c r="I29" s="200"/>
      <c r="J29" s="200"/>
      <c r="K29" s="200"/>
      <c r="L29" s="200"/>
      <c r="M29" s="217"/>
      <c r="N29" s="216"/>
      <c r="O29" s="216"/>
    </row>
    <row r="30" spans="2:27" ht="15" customHeight="1" x14ac:dyDescent="0.3">
      <c r="B30" s="338"/>
      <c r="C30" s="327"/>
      <c r="D30" s="327"/>
      <c r="E30" s="327"/>
      <c r="F30" s="327"/>
      <c r="G30" s="339"/>
      <c r="H30" s="215"/>
      <c r="I30" s="200"/>
      <c r="J30" s="200"/>
      <c r="K30" s="200"/>
      <c r="L30" s="200"/>
      <c r="M30" s="217"/>
      <c r="N30" s="216"/>
      <c r="O30" s="216"/>
    </row>
    <row r="31" spans="2:27" ht="15" customHeight="1" x14ac:dyDescent="0.3">
      <c r="B31" s="338"/>
      <c r="C31" s="327"/>
      <c r="D31" s="327"/>
      <c r="E31" s="327"/>
      <c r="F31" s="327"/>
      <c r="G31" s="339"/>
      <c r="H31" s="215"/>
      <c r="I31" s="200"/>
      <c r="J31" s="200"/>
      <c r="K31" s="200"/>
      <c r="L31" s="200"/>
      <c r="M31" s="217"/>
      <c r="N31" s="216"/>
      <c r="O31" s="216"/>
    </row>
    <row r="32" spans="2:27" ht="15" customHeight="1" x14ac:dyDescent="0.3">
      <c r="B32" s="338"/>
      <c r="C32" s="327"/>
      <c r="D32" s="327"/>
      <c r="E32" s="327"/>
      <c r="F32" s="327"/>
      <c r="G32" s="339"/>
      <c r="H32" s="215"/>
      <c r="I32" s="200"/>
      <c r="J32" s="200"/>
      <c r="K32" s="200"/>
      <c r="L32" s="200"/>
      <c r="M32" s="217"/>
      <c r="N32" s="216"/>
      <c r="O32" s="216"/>
    </row>
    <row r="33" spans="2:15" ht="15" customHeight="1" x14ac:dyDescent="0.3">
      <c r="B33" s="338"/>
      <c r="C33" s="327"/>
      <c r="D33" s="327"/>
      <c r="E33" s="327"/>
      <c r="F33" s="327"/>
      <c r="G33" s="339"/>
      <c r="H33" s="215"/>
      <c r="I33" s="200"/>
      <c r="J33" s="200"/>
      <c r="K33" s="200"/>
      <c r="L33" s="200"/>
      <c r="M33" s="217"/>
      <c r="N33" s="216"/>
      <c r="O33" s="216"/>
    </row>
    <row r="34" spans="2:15" ht="15" customHeight="1" x14ac:dyDescent="0.3">
      <c r="B34" s="338"/>
      <c r="C34" s="327"/>
      <c r="D34" s="327"/>
      <c r="E34" s="327"/>
      <c r="F34" s="327"/>
      <c r="G34" s="339"/>
      <c r="H34" s="215"/>
      <c r="I34" s="200"/>
      <c r="J34" s="200"/>
      <c r="K34" s="200"/>
      <c r="L34" s="200"/>
      <c r="M34" s="217"/>
      <c r="N34" s="216"/>
      <c r="O34" s="216"/>
    </row>
    <row r="35" spans="2:15" ht="15" customHeight="1" x14ac:dyDescent="0.3">
      <c r="B35" s="338"/>
      <c r="C35" s="327"/>
      <c r="D35" s="327"/>
      <c r="E35" s="327"/>
      <c r="F35" s="327"/>
      <c r="G35" s="339"/>
      <c r="H35" s="215"/>
      <c r="I35" s="200"/>
      <c r="J35" s="200"/>
      <c r="K35" s="200"/>
      <c r="L35" s="200"/>
      <c r="M35" s="217"/>
      <c r="N35" s="216"/>
      <c r="O35" s="216"/>
    </row>
    <row r="36" spans="2:15" ht="18.75" x14ac:dyDescent="0.3">
      <c r="B36" s="220" t="s">
        <v>259</v>
      </c>
      <c r="C36" s="200"/>
      <c r="D36" s="200"/>
      <c r="E36" s="200"/>
      <c r="F36" s="200"/>
      <c r="G36" s="209"/>
      <c r="H36" s="259">
        <f>W73</f>
        <v>149.58786524166496</v>
      </c>
      <c r="I36" s="200" t="s">
        <v>260</v>
      </c>
      <c r="J36" s="200"/>
      <c r="K36" s="200"/>
      <c r="L36" s="200"/>
      <c r="M36" s="217"/>
      <c r="N36" s="216"/>
      <c r="O36" s="216"/>
    </row>
    <row r="37" spans="2:15" x14ac:dyDescent="0.3">
      <c r="B37" s="220"/>
      <c r="C37" s="200"/>
      <c r="D37" s="200"/>
      <c r="E37" s="200"/>
      <c r="F37" s="200"/>
      <c r="G37" s="209"/>
      <c r="H37" s="221"/>
      <c r="I37" s="200"/>
      <c r="J37" s="200"/>
      <c r="K37" s="200"/>
      <c r="L37" s="200"/>
      <c r="M37" s="217"/>
      <c r="N37" s="216"/>
      <c r="O37" s="216"/>
    </row>
    <row r="38" spans="2:15" x14ac:dyDescent="0.3">
      <c r="B38" s="236" t="s">
        <v>276</v>
      </c>
      <c r="C38" s="200"/>
      <c r="D38" s="200"/>
      <c r="E38" s="200"/>
      <c r="F38" s="200"/>
      <c r="G38" s="209"/>
      <c r="H38" s="221"/>
      <c r="I38" s="200"/>
      <c r="J38" s="200"/>
      <c r="K38" s="200"/>
      <c r="L38" s="200"/>
      <c r="M38" s="217"/>
      <c r="N38" s="216"/>
      <c r="O38" s="216"/>
    </row>
    <row r="39" spans="2:15" x14ac:dyDescent="0.3">
      <c r="B39" s="224"/>
      <c r="C39" s="200"/>
      <c r="D39" s="200"/>
      <c r="E39" s="200"/>
      <c r="F39" s="200"/>
      <c r="G39" s="209"/>
      <c r="H39" s="221"/>
      <c r="I39" s="200"/>
      <c r="J39" s="200"/>
      <c r="K39" s="200"/>
      <c r="L39" s="200"/>
      <c r="M39" s="217"/>
      <c r="N39" s="216"/>
      <c r="O39" s="216"/>
    </row>
    <row r="40" spans="2:15" x14ac:dyDescent="0.3">
      <c r="B40" s="224"/>
      <c r="C40" s="200"/>
      <c r="D40" s="200"/>
      <c r="E40" s="200"/>
      <c r="F40" s="200"/>
      <c r="G40" s="209"/>
      <c r="H40" s="221"/>
      <c r="I40" s="200"/>
      <c r="J40" s="200"/>
      <c r="K40" s="200"/>
      <c r="L40" s="200"/>
      <c r="M40" s="217"/>
      <c r="N40" s="216"/>
      <c r="O40" s="216"/>
    </row>
    <row r="41" spans="2:15" x14ac:dyDescent="0.3">
      <c r="B41" s="224" t="s">
        <v>261</v>
      </c>
      <c r="C41" s="200"/>
      <c r="D41" s="200"/>
      <c r="E41" s="200"/>
      <c r="F41" s="200"/>
      <c r="G41" s="209"/>
      <c r="H41" s="221"/>
      <c r="I41" s="200"/>
      <c r="J41" s="200"/>
      <c r="K41" s="200"/>
      <c r="L41" s="200"/>
      <c r="M41" s="217"/>
      <c r="N41" s="216"/>
      <c r="O41" s="216"/>
    </row>
    <row r="42" spans="2:15" x14ac:dyDescent="0.3">
      <c r="B42" s="220"/>
      <c r="C42" s="200"/>
      <c r="D42" s="200"/>
      <c r="E42" s="200"/>
      <c r="F42" s="200"/>
      <c r="G42" s="209"/>
      <c r="H42" s="221"/>
      <c r="I42" s="200"/>
      <c r="J42" s="200"/>
      <c r="K42" s="200"/>
      <c r="L42" s="200"/>
      <c r="M42" s="217"/>
      <c r="N42" s="216"/>
      <c r="O42" s="216"/>
    </row>
    <row r="43" spans="2:15" x14ac:dyDescent="0.3">
      <c r="B43" s="224" t="s">
        <v>265</v>
      </c>
      <c r="C43" s="200"/>
      <c r="D43" s="200"/>
      <c r="E43" s="200"/>
      <c r="F43" s="200"/>
      <c r="G43" s="209"/>
      <c r="H43" s="221"/>
      <c r="I43" s="200"/>
      <c r="J43" s="200"/>
      <c r="K43" s="200"/>
      <c r="L43" s="200"/>
      <c r="M43" s="217"/>
      <c r="N43" s="216"/>
      <c r="O43" s="216"/>
    </row>
    <row r="44" spans="2:15" x14ac:dyDescent="0.3">
      <c r="B44" s="220"/>
      <c r="C44" s="200"/>
      <c r="D44" s="200"/>
      <c r="E44" s="200"/>
      <c r="F44" s="200"/>
      <c r="G44" s="209"/>
      <c r="H44" s="221"/>
      <c r="I44" s="200"/>
      <c r="J44" s="200"/>
      <c r="K44" s="200"/>
      <c r="L44" s="200"/>
      <c r="M44" s="217"/>
      <c r="N44" s="216"/>
      <c r="O44" s="216"/>
    </row>
    <row r="45" spans="2:15" ht="18.75" x14ac:dyDescent="0.3">
      <c r="B45" s="210" t="s">
        <v>278</v>
      </c>
      <c r="C45" s="200"/>
      <c r="D45" s="200"/>
      <c r="E45" s="200"/>
      <c r="F45" s="200"/>
      <c r="G45" s="209"/>
      <c r="H45" s="260">
        <v>155</v>
      </c>
      <c r="I45" s="200" t="s">
        <v>260</v>
      </c>
      <c r="J45" s="200"/>
      <c r="K45" s="200"/>
      <c r="L45" s="200"/>
      <c r="M45" s="217"/>
      <c r="N45" s="216"/>
      <c r="O45" s="216"/>
    </row>
    <row r="46" spans="2:15" x14ac:dyDescent="0.3">
      <c r="B46" s="210"/>
      <c r="C46" s="200"/>
      <c r="D46" s="200"/>
      <c r="E46" s="325" t="s">
        <v>279</v>
      </c>
      <c r="F46" s="325"/>
      <c r="G46" s="326"/>
      <c r="H46" s="215"/>
      <c r="I46" s="200"/>
      <c r="J46" s="200"/>
      <c r="K46" s="200"/>
      <c r="L46" s="200"/>
      <c r="M46" s="217"/>
      <c r="N46" s="216"/>
      <c r="O46" s="216"/>
    </row>
    <row r="47" spans="2:15" ht="20.100000000000001" customHeight="1" x14ac:dyDescent="0.3">
      <c r="B47" s="210"/>
      <c r="C47" s="200"/>
      <c r="D47" s="200"/>
      <c r="E47" s="325"/>
      <c r="F47" s="325"/>
      <c r="G47" s="326"/>
      <c r="H47" s="215"/>
      <c r="I47" s="200"/>
      <c r="J47" s="200"/>
      <c r="K47" s="200"/>
      <c r="L47" s="200"/>
      <c r="M47" s="217"/>
      <c r="N47" s="216"/>
      <c r="O47" s="216"/>
    </row>
    <row r="48" spans="2:15" ht="20.100000000000001" customHeight="1" x14ac:dyDescent="0.3">
      <c r="B48" s="210"/>
      <c r="C48" s="200"/>
      <c r="D48" s="200"/>
      <c r="E48" s="325"/>
      <c r="F48" s="325"/>
      <c r="G48" s="326"/>
      <c r="H48" s="215"/>
      <c r="I48" s="200"/>
      <c r="J48" s="200"/>
      <c r="K48" s="200"/>
      <c r="L48" s="200"/>
      <c r="M48" s="217"/>
      <c r="N48" s="216"/>
      <c r="O48" s="216"/>
    </row>
    <row r="49" spans="2:37" ht="20.25" x14ac:dyDescent="0.3">
      <c r="B49" s="309" t="s">
        <v>277</v>
      </c>
      <c r="C49" s="308"/>
      <c r="D49" s="200"/>
      <c r="E49" s="200"/>
      <c r="F49" s="200"/>
      <c r="G49" s="209"/>
      <c r="H49" s="243" t="str">
        <f>IF(H45&lt;H36, "It's worth going Long on this Stock","Stock is over-valued, it's appropriate to short-sell")</f>
        <v>Stock is over-valued, it's appropriate to short-sell</v>
      </c>
      <c r="I49" s="200"/>
      <c r="J49" s="200"/>
      <c r="K49" s="200"/>
      <c r="L49" s="200"/>
      <c r="M49" s="217"/>
      <c r="N49" s="216"/>
      <c r="O49" s="216"/>
    </row>
    <row r="50" spans="2:37" x14ac:dyDescent="0.3">
      <c r="B50" s="255"/>
      <c r="C50" s="256"/>
      <c r="D50" s="213"/>
      <c r="E50" s="213"/>
      <c r="F50" s="213"/>
      <c r="G50" s="214"/>
      <c r="H50" s="257"/>
      <c r="I50" s="213"/>
      <c r="J50" s="213"/>
      <c r="K50" s="213"/>
      <c r="L50" s="213"/>
      <c r="M50" s="240"/>
      <c r="N50" s="216"/>
      <c r="O50" s="216"/>
    </row>
    <row r="51" spans="2:37" ht="16.5" customHeight="1" x14ac:dyDescent="0.3">
      <c r="B51" s="322" t="s">
        <v>309</v>
      </c>
      <c r="C51" s="323"/>
      <c r="D51" s="323"/>
      <c r="E51" s="323"/>
      <c r="F51" s="323"/>
      <c r="G51" s="258"/>
      <c r="H51" s="306" t="s">
        <v>284</v>
      </c>
      <c r="I51" s="200"/>
      <c r="J51" s="200"/>
      <c r="K51" s="200"/>
      <c r="L51" s="200"/>
      <c r="M51" s="217"/>
      <c r="N51" s="216"/>
      <c r="O51" s="216"/>
      <c r="P51" s="1" t="str" cm="1">
        <f t="array" aca="1" ref="P51" ca="1">INDIRECT(ADDRESS(1,1,,,INDIRECT("H51")))</f>
        <v>GILEAD SCIENCE INC.</v>
      </c>
      <c r="AJ51" s="1" t="s">
        <v>284</v>
      </c>
    </row>
    <row r="52" spans="2:37" ht="20.100000000000001" customHeight="1" x14ac:dyDescent="0.3">
      <c r="B52" s="340" t="s">
        <v>399</v>
      </c>
      <c r="C52" s="341"/>
      <c r="D52" s="341"/>
      <c r="E52" s="341"/>
      <c r="F52" s="341"/>
      <c r="G52" s="342"/>
      <c r="H52" s="324" t="s">
        <v>398</v>
      </c>
      <c r="I52" s="325"/>
      <c r="J52" s="325"/>
      <c r="K52" s="200"/>
      <c r="L52" s="200"/>
      <c r="M52" s="217"/>
      <c r="N52" s="216"/>
      <c r="O52" s="216"/>
      <c r="AJ52" s="1" t="s">
        <v>310</v>
      </c>
    </row>
    <row r="53" spans="2:37" ht="20.100000000000001" customHeight="1" x14ac:dyDescent="0.3">
      <c r="B53" s="340"/>
      <c r="C53" s="341"/>
      <c r="D53" s="341"/>
      <c r="E53" s="341"/>
      <c r="F53" s="341"/>
      <c r="G53" s="342"/>
      <c r="H53" s="324"/>
      <c r="I53" s="325"/>
      <c r="J53" s="325"/>
      <c r="K53" s="200"/>
      <c r="L53" s="200"/>
      <c r="M53" s="217"/>
      <c r="N53" s="216"/>
      <c r="O53" s="216"/>
    </row>
    <row r="54" spans="2:37" ht="20.100000000000001" customHeight="1" x14ac:dyDescent="0.3">
      <c r="B54" s="340"/>
      <c r="C54" s="341"/>
      <c r="D54" s="341"/>
      <c r="E54" s="341"/>
      <c r="F54" s="341"/>
      <c r="G54" s="342"/>
      <c r="H54" s="324"/>
      <c r="I54" s="325"/>
      <c r="J54" s="325"/>
      <c r="K54" s="200"/>
      <c r="L54" s="200"/>
      <c r="M54" s="217"/>
      <c r="N54" s="216"/>
      <c r="O54" s="216"/>
    </row>
    <row r="55" spans="2:37" x14ac:dyDescent="0.3">
      <c r="B55" s="320"/>
      <c r="C55" s="321"/>
      <c r="D55" s="321"/>
      <c r="E55" s="321"/>
      <c r="F55" s="321"/>
      <c r="G55" s="209"/>
      <c r="H55" s="243"/>
      <c r="I55" s="200"/>
      <c r="J55" s="200"/>
      <c r="K55" s="200"/>
      <c r="L55" s="200"/>
      <c r="M55" s="217"/>
      <c r="N55" s="216"/>
      <c r="O55" s="216"/>
    </row>
    <row r="56" spans="2:37" x14ac:dyDescent="0.3">
      <c r="B56" s="320"/>
      <c r="C56" s="321"/>
      <c r="D56" s="321"/>
      <c r="E56" s="321"/>
      <c r="F56" s="321"/>
      <c r="G56" s="209"/>
      <c r="H56" s="220"/>
      <c r="I56" s="200"/>
      <c r="J56" s="200"/>
      <c r="K56" s="200"/>
      <c r="L56" s="200"/>
      <c r="M56" s="217"/>
      <c r="N56" s="216"/>
      <c r="O56" s="216"/>
    </row>
    <row r="57" spans="2:37" hidden="1" x14ac:dyDescent="0.3">
      <c r="B57" s="223"/>
      <c r="C57" s="222"/>
      <c r="D57" s="200"/>
      <c r="E57" s="200"/>
      <c r="F57" s="200"/>
      <c r="G57" s="209"/>
      <c r="H57" s="220"/>
      <c r="I57" s="200"/>
      <c r="J57" s="200"/>
      <c r="K57" s="200"/>
      <c r="L57" s="200"/>
      <c r="M57" s="217"/>
      <c r="N57" s="216"/>
      <c r="O57" s="216"/>
      <c r="P57" s="231">
        <f>P59*(1-P60)</f>
        <v>-0.31080000000000002</v>
      </c>
    </row>
    <row r="58" spans="2:37" hidden="1" x14ac:dyDescent="0.3">
      <c r="B58" s="235"/>
      <c r="C58" s="222"/>
      <c r="D58" s="200"/>
      <c r="E58" s="200"/>
      <c r="F58" s="200"/>
      <c r="G58" s="209"/>
      <c r="H58" s="220"/>
      <c r="I58" s="200"/>
      <c r="J58" s="200"/>
      <c r="K58" s="200"/>
      <c r="L58" s="200"/>
      <c r="M58" s="217"/>
      <c r="N58" s="216"/>
      <c r="O58" s="216"/>
      <c r="R58" s="1">
        <v>100</v>
      </c>
      <c r="AB58" s="1" t="s">
        <v>261</v>
      </c>
      <c r="AD58" s="1" t="s">
        <v>265</v>
      </c>
      <c r="AF58" s="1" t="s">
        <v>273</v>
      </c>
      <c r="AG58" s="1" t="s">
        <v>275</v>
      </c>
    </row>
    <row r="59" spans="2:37" hidden="1" x14ac:dyDescent="0.3">
      <c r="B59" s="224"/>
      <c r="C59" s="222"/>
      <c r="D59" s="200"/>
      <c r="E59" s="200"/>
      <c r="F59" s="200"/>
      <c r="G59" s="209"/>
      <c r="H59" s="232"/>
      <c r="I59" s="200"/>
      <c r="J59" s="200"/>
      <c r="K59" s="200"/>
      <c r="L59" s="200"/>
      <c r="M59" s="217"/>
      <c r="N59" s="216"/>
      <c r="O59" s="216" t="s">
        <v>262</v>
      </c>
      <c r="P59" s="225">
        <f>'WACC &amp; Valuation'!B8</f>
        <v>4.4400000000000002E-2</v>
      </c>
      <c r="Z59" s="1" t="s">
        <v>272</v>
      </c>
      <c r="AB59" s="226">
        <v>0.01</v>
      </c>
      <c r="AD59" s="226">
        <v>0.05</v>
      </c>
      <c r="AF59" s="234">
        <v>900</v>
      </c>
      <c r="AG59" s="226">
        <v>0.2</v>
      </c>
      <c r="AH59" s="226"/>
      <c r="AK59" s="225"/>
    </row>
    <row r="60" spans="2:37" hidden="1" x14ac:dyDescent="0.3">
      <c r="B60" s="224"/>
      <c r="C60" s="222"/>
      <c r="D60" s="200"/>
      <c r="E60" s="200"/>
      <c r="F60" s="200"/>
      <c r="G60" s="209"/>
      <c r="H60" s="220"/>
      <c r="I60" s="200"/>
      <c r="J60" s="200"/>
      <c r="K60" s="200"/>
      <c r="L60" s="200"/>
      <c r="M60" s="217"/>
      <c r="N60" s="216"/>
      <c r="O60" s="216" t="s">
        <v>263</v>
      </c>
      <c r="P60" s="226">
        <v>8</v>
      </c>
      <c r="AB60" s="226">
        <v>0.02</v>
      </c>
      <c r="AD60" s="226">
        <v>0.06</v>
      </c>
      <c r="AF60" s="234">
        <v>1000</v>
      </c>
      <c r="AG60" s="226">
        <v>0.21</v>
      </c>
      <c r="AH60" s="226"/>
      <c r="AK60" s="225"/>
    </row>
    <row r="61" spans="2:37" hidden="1" x14ac:dyDescent="0.3">
      <c r="B61" s="235"/>
      <c r="C61" s="200"/>
      <c r="D61" s="200"/>
      <c r="E61" s="200"/>
      <c r="F61" s="200"/>
      <c r="G61" s="209"/>
      <c r="H61" s="210"/>
      <c r="I61" s="200"/>
      <c r="J61" s="200"/>
      <c r="K61" s="200"/>
      <c r="L61" s="200"/>
      <c r="M61" s="217"/>
      <c r="N61" s="216"/>
      <c r="O61" s="216" t="s">
        <v>264</v>
      </c>
      <c r="Q61" s="230">
        <v>3</v>
      </c>
      <c r="T61" s="1" t="s">
        <v>270</v>
      </c>
      <c r="U61" s="225">
        <f>'WACC &amp; Valuation'!B2</f>
        <v>0.20082607105060299</v>
      </c>
      <c r="AB61" s="225">
        <v>3.5099999999999999E-2</v>
      </c>
      <c r="AD61" s="226">
        <v>7.0000000000000007E-2</v>
      </c>
      <c r="AF61" s="234">
        <v>1100</v>
      </c>
      <c r="AG61" s="226">
        <v>0.22</v>
      </c>
      <c r="AH61" s="225"/>
      <c r="AK61" s="225"/>
    </row>
    <row r="62" spans="2:37" hidden="1" x14ac:dyDescent="0.3">
      <c r="B62" s="224"/>
      <c r="C62" s="200"/>
      <c r="D62" s="200"/>
      <c r="E62" s="200"/>
      <c r="F62" s="200"/>
      <c r="G62" s="209"/>
      <c r="H62" s="210"/>
      <c r="I62" s="200"/>
      <c r="J62" s="200"/>
      <c r="K62" s="200"/>
      <c r="L62" s="200"/>
      <c r="M62" s="217"/>
      <c r="N62" s="216"/>
      <c r="O62" s="216" t="s">
        <v>265</v>
      </c>
      <c r="P62" s="231">
        <v>10</v>
      </c>
      <c r="T62" s="1" t="s">
        <v>271</v>
      </c>
      <c r="U62" s="225">
        <f>1-U61</f>
        <v>0.79917392894939698</v>
      </c>
      <c r="AB62" s="226">
        <v>0.04</v>
      </c>
      <c r="AD62" s="225">
        <v>8.1299999999999997E-2</v>
      </c>
      <c r="AF62" s="234">
        <v>1270</v>
      </c>
      <c r="AG62" s="226">
        <v>0.23</v>
      </c>
      <c r="AH62" s="226"/>
      <c r="AK62" s="225"/>
    </row>
    <row r="63" spans="2:37" hidden="1" x14ac:dyDescent="0.3">
      <c r="B63" s="224"/>
      <c r="C63" s="200"/>
      <c r="D63" s="200"/>
      <c r="E63" s="200"/>
      <c r="F63" s="200"/>
      <c r="G63" s="209"/>
      <c r="H63" s="210"/>
      <c r="I63" s="200"/>
      <c r="J63" s="200"/>
      <c r="K63" s="200"/>
      <c r="L63" s="200"/>
      <c r="M63" s="217"/>
      <c r="N63" s="216"/>
      <c r="O63" s="216" t="s">
        <v>150</v>
      </c>
      <c r="P63" s="227">
        <v>7</v>
      </c>
      <c r="AB63" s="226">
        <v>0.05</v>
      </c>
      <c r="AD63" s="226">
        <v>0.09</v>
      </c>
      <c r="AF63" s="234">
        <v>1350</v>
      </c>
      <c r="AG63" s="226">
        <v>0.24</v>
      </c>
      <c r="AH63" s="225"/>
      <c r="AK63" s="226"/>
    </row>
    <row r="64" spans="2:37" hidden="1" x14ac:dyDescent="0.3">
      <c r="B64" s="224"/>
      <c r="C64" s="200"/>
      <c r="D64" s="200"/>
      <c r="E64" s="200"/>
      <c r="F64" s="200"/>
      <c r="G64" s="209"/>
      <c r="H64" s="210"/>
      <c r="I64" s="200"/>
      <c r="J64" s="200"/>
      <c r="K64" s="200"/>
      <c r="L64" s="200"/>
      <c r="M64" s="217"/>
      <c r="N64" s="216"/>
      <c r="O64" s="216" t="s">
        <v>266</v>
      </c>
      <c r="P64" s="225">
        <v>4</v>
      </c>
      <c r="AB64" s="226">
        <v>0.06</v>
      </c>
      <c r="AD64" s="226">
        <v>0.1</v>
      </c>
      <c r="AF64" s="234">
        <v>1450</v>
      </c>
      <c r="AG64" s="226">
        <v>0.25</v>
      </c>
      <c r="AH64" s="225"/>
      <c r="AK64" s="225"/>
    </row>
    <row r="65" spans="2:37" hidden="1" x14ac:dyDescent="0.3">
      <c r="B65" s="224"/>
      <c r="C65" s="200"/>
      <c r="D65" s="200"/>
      <c r="E65" s="200"/>
      <c r="F65" s="200"/>
      <c r="G65" s="209"/>
      <c r="H65" s="210"/>
      <c r="I65" s="200"/>
      <c r="J65" s="200"/>
      <c r="K65" s="200"/>
      <c r="L65" s="200"/>
      <c r="M65" s="217"/>
      <c r="N65" s="216"/>
      <c r="O65" s="216" t="s">
        <v>267</v>
      </c>
      <c r="P65" s="225">
        <f>'WACC &amp; Valuation'!B13</f>
        <v>5.5E-2</v>
      </c>
      <c r="AB65" s="226">
        <v>7.0000000000000007E-2</v>
      </c>
      <c r="AD65" s="226">
        <v>0.11</v>
      </c>
      <c r="AF65" s="234">
        <v>1600</v>
      </c>
      <c r="AG65" s="226">
        <v>0.26</v>
      </c>
      <c r="AH65" s="225"/>
      <c r="AK65" s="225"/>
    </row>
    <row r="66" spans="2:37" hidden="1" x14ac:dyDescent="0.3">
      <c r="B66" s="210"/>
      <c r="C66" s="211"/>
      <c r="D66" s="200"/>
      <c r="E66" s="200"/>
      <c r="F66" s="200"/>
      <c r="G66" s="209"/>
      <c r="H66" s="210"/>
      <c r="I66" s="200"/>
      <c r="J66" s="200"/>
      <c r="K66" s="200"/>
      <c r="L66" s="200"/>
      <c r="M66" s="217"/>
      <c r="N66" s="216"/>
      <c r="O66" s="216" t="s">
        <v>152</v>
      </c>
      <c r="P66" s="225">
        <f>((P62/100)*U62)+(Q61/100)*U61</f>
        <v>8.5942175026457804E-2</v>
      </c>
      <c r="R66" s="1">
        <v>1</v>
      </c>
      <c r="S66" s="1">
        <v>2</v>
      </c>
      <c r="T66" s="1">
        <v>3</v>
      </c>
      <c r="U66" s="1">
        <v>4</v>
      </c>
      <c r="V66" s="1">
        <v>5</v>
      </c>
      <c r="AB66" s="226">
        <v>0.08</v>
      </c>
      <c r="AD66" s="226">
        <v>0.12</v>
      </c>
      <c r="AF66" s="234">
        <v>1700</v>
      </c>
      <c r="AG66" s="226">
        <v>0.27</v>
      </c>
      <c r="AK66" s="225"/>
    </row>
    <row r="67" spans="2:37" hidden="1" x14ac:dyDescent="0.3">
      <c r="B67" s="210"/>
      <c r="C67" s="211"/>
      <c r="D67" s="200"/>
      <c r="E67" s="200"/>
      <c r="F67" s="200"/>
      <c r="G67" s="209"/>
      <c r="H67" s="210"/>
      <c r="I67" s="200"/>
      <c r="J67" s="200"/>
      <c r="K67" s="200"/>
      <c r="L67" s="200"/>
      <c r="M67" s="209"/>
      <c r="R67" s="1">
        <v>2020</v>
      </c>
      <c r="S67" s="1">
        <v>2021</v>
      </c>
      <c r="T67" s="1">
        <v>2022</v>
      </c>
      <c r="U67" s="1">
        <v>2023</v>
      </c>
      <c r="V67" s="1">
        <v>2024</v>
      </c>
      <c r="AB67" s="226">
        <v>0.09</v>
      </c>
      <c r="AD67" s="226">
        <v>0.13</v>
      </c>
      <c r="AF67" s="234">
        <v>1800</v>
      </c>
      <c r="AG67" s="226">
        <v>0.28000000000000003</v>
      </c>
      <c r="AK67" s="225"/>
    </row>
    <row r="68" spans="2:37" hidden="1" x14ac:dyDescent="0.3">
      <c r="B68" s="210"/>
      <c r="C68" s="211"/>
      <c r="D68" s="200"/>
      <c r="E68" s="200"/>
      <c r="F68" s="200"/>
      <c r="G68" s="209"/>
      <c r="H68" s="210"/>
      <c r="I68" s="200"/>
      <c r="J68" s="200"/>
      <c r="K68" s="200"/>
      <c r="L68" s="200"/>
      <c r="M68" s="209"/>
      <c r="R68" s="228">
        <f>'WACC &amp; Valuation'!G14</f>
        <v>5432.4337816000025</v>
      </c>
      <c r="S68" s="228">
        <f>'WACC &amp; Valuation'!H14</f>
        <v>5862.9786156900045</v>
      </c>
      <c r="T68" s="228">
        <f>'WACC &amp; Valuation'!I14</f>
        <v>894.47534275049838</v>
      </c>
      <c r="U68" s="228">
        <f>'WACC &amp; Valuation'!J14</f>
        <v>-579.40435257257195</v>
      </c>
      <c r="V68" s="228">
        <f>'WACC &amp; Valuation'!K14</f>
        <v>271413.36408906302</v>
      </c>
      <c r="AB68" s="226">
        <v>0.1</v>
      </c>
      <c r="AD68" s="226">
        <v>0.14000000000000001</v>
      </c>
      <c r="AG68" s="226">
        <v>0.28999999999999998</v>
      </c>
      <c r="AK68" s="225"/>
    </row>
    <row r="69" spans="2:37" hidden="1" x14ac:dyDescent="0.3">
      <c r="B69" s="210"/>
      <c r="C69" s="211"/>
      <c r="D69" s="200"/>
      <c r="E69" s="200"/>
      <c r="F69" s="200"/>
      <c r="G69" s="209"/>
      <c r="H69" s="210"/>
      <c r="I69" s="200"/>
      <c r="J69" s="200"/>
      <c r="K69" s="200"/>
      <c r="L69" s="200"/>
      <c r="M69" s="209"/>
      <c r="R69" s="229">
        <f>(R68)/(1+$P$66)^R66</f>
        <v>5002.5074138663485</v>
      </c>
      <c r="S69" s="229">
        <f t="shared" ref="S69:V69" si="0">(S68)/(1+$P$66)^S66</f>
        <v>4971.6999412486912</v>
      </c>
      <c r="T69" s="229">
        <f t="shared" si="0"/>
        <v>698.47082823604603</v>
      </c>
      <c r="U69" s="229">
        <f t="shared" si="0"/>
        <v>-416.63423411103594</v>
      </c>
      <c r="V69" s="229">
        <f t="shared" si="0"/>
        <v>179720.54490767443</v>
      </c>
      <c r="W69" s="229">
        <f>SUM(R69:V69)</f>
        <v>189976.58885691449</v>
      </c>
      <c r="AD69" s="226">
        <v>0.15</v>
      </c>
      <c r="AG69" s="226">
        <v>0.3</v>
      </c>
    </row>
    <row r="70" spans="2:37" hidden="1" x14ac:dyDescent="0.3">
      <c r="B70" s="210"/>
      <c r="C70" s="211"/>
      <c r="D70" s="200"/>
      <c r="E70" s="200"/>
      <c r="F70" s="200"/>
      <c r="G70" s="209"/>
      <c r="H70" s="210"/>
      <c r="I70" s="200"/>
      <c r="J70" s="200"/>
      <c r="K70" s="200"/>
      <c r="L70" s="200"/>
      <c r="M70" s="209"/>
      <c r="V70" s="1" t="s">
        <v>274</v>
      </c>
      <c r="W70" s="1">
        <f>AJ61</f>
        <v>0</v>
      </c>
    </row>
    <row r="71" spans="2:37" hidden="1" x14ac:dyDescent="0.3">
      <c r="B71" s="210"/>
      <c r="C71" s="211"/>
      <c r="D71" s="200"/>
      <c r="E71" s="200"/>
      <c r="F71" s="200"/>
      <c r="G71" s="209"/>
      <c r="H71" s="210"/>
      <c r="I71" s="200"/>
      <c r="J71" s="200"/>
      <c r="K71" s="200"/>
      <c r="L71" s="200"/>
      <c r="M71" s="209"/>
      <c r="V71" s="1" t="s">
        <v>406</v>
      </c>
      <c r="W71" s="229">
        <f>W69+W70</f>
        <v>189976.58885691449</v>
      </c>
    </row>
    <row r="72" spans="2:37" hidden="1" x14ac:dyDescent="0.3">
      <c r="B72" s="210"/>
      <c r="C72" s="211"/>
      <c r="D72" s="200"/>
      <c r="E72" s="200"/>
      <c r="F72" s="200"/>
      <c r="G72" s="209"/>
      <c r="H72" s="210"/>
      <c r="I72" s="200"/>
      <c r="J72" s="200"/>
      <c r="K72" s="200"/>
      <c r="L72" s="200"/>
      <c r="M72" s="209"/>
      <c r="V72" s="1" t="s">
        <v>268</v>
      </c>
      <c r="W72" s="233"/>
      <c r="Y72" s="216">
        <v>1270</v>
      </c>
    </row>
    <row r="73" spans="2:37" hidden="1" x14ac:dyDescent="0.3">
      <c r="B73" s="210"/>
      <c r="C73" s="211"/>
      <c r="D73" s="200"/>
      <c r="E73" s="200"/>
      <c r="F73" s="200"/>
      <c r="G73" s="209"/>
      <c r="H73" s="210"/>
      <c r="I73" s="200"/>
      <c r="J73" s="200"/>
      <c r="K73" s="200"/>
      <c r="L73" s="200"/>
      <c r="M73" s="209"/>
      <c r="V73" s="1" t="s">
        <v>269</v>
      </c>
      <c r="W73" s="229">
        <f>W71/Y72</f>
        <v>149.58786524166496</v>
      </c>
    </row>
    <row r="74" spans="2:37" hidden="1" x14ac:dyDescent="0.3">
      <c r="B74" s="210"/>
      <c r="C74" s="211"/>
      <c r="D74" s="200"/>
      <c r="E74" s="200"/>
      <c r="F74" s="200"/>
      <c r="G74" s="209"/>
      <c r="H74" s="210"/>
      <c r="I74" s="200"/>
      <c r="J74" s="200"/>
      <c r="K74" s="200"/>
      <c r="L74" s="200"/>
      <c r="M74" s="209"/>
    </row>
    <row r="75" spans="2:37" hidden="1" x14ac:dyDescent="0.3">
      <c r="B75" s="210"/>
      <c r="C75" s="211"/>
      <c r="D75" s="200"/>
      <c r="E75" s="200"/>
      <c r="F75" s="200"/>
      <c r="G75" s="209"/>
      <c r="H75" s="210"/>
      <c r="I75" s="200"/>
      <c r="J75" s="200"/>
      <c r="K75" s="200"/>
      <c r="L75" s="200"/>
      <c r="M75" s="209"/>
    </row>
    <row r="76" spans="2:37" hidden="1" x14ac:dyDescent="0.3">
      <c r="B76" s="210"/>
      <c r="C76" s="211"/>
      <c r="D76" s="200"/>
      <c r="E76" s="200"/>
      <c r="F76" s="200"/>
      <c r="G76" s="209"/>
      <c r="H76" s="210"/>
      <c r="I76" s="200"/>
      <c r="J76" s="200"/>
      <c r="K76" s="200"/>
      <c r="L76" s="200"/>
      <c r="M76" s="209"/>
    </row>
    <row r="77" spans="2:37" hidden="1" x14ac:dyDescent="0.3">
      <c r="B77" s="210"/>
      <c r="C77" s="211"/>
      <c r="D77" s="200"/>
      <c r="E77" s="200"/>
      <c r="F77" s="200"/>
      <c r="G77" s="209"/>
      <c r="H77" s="210"/>
      <c r="I77" s="200"/>
      <c r="J77" s="200"/>
      <c r="K77" s="200"/>
      <c r="L77" s="200"/>
      <c r="M77" s="209"/>
    </row>
    <row r="78" spans="2:37" hidden="1" x14ac:dyDescent="0.3">
      <c r="B78" s="212"/>
      <c r="C78" s="213"/>
      <c r="D78" s="213"/>
      <c r="E78" s="213"/>
      <c r="F78" s="213"/>
      <c r="G78" s="214"/>
      <c r="H78" s="212"/>
      <c r="I78" s="213"/>
      <c r="J78" s="213"/>
      <c r="K78" s="213"/>
      <c r="L78" s="213"/>
      <c r="M78" s="214"/>
    </row>
    <row r="79" spans="2:37" x14ac:dyDescent="0.3">
      <c r="B79" s="199"/>
      <c r="C79" s="199"/>
      <c r="D79" s="199"/>
      <c r="E79" s="199"/>
      <c r="F79" s="199"/>
      <c r="G79" s="199"/>
      <c r="H79" s="199"/>
      <c r="I79" s="199"/>
      <c r="J79" s="199"/>
      <c r="K79" s="199"/>
      <c r="L79" s="199"/>
      <c r="M79" s="199"/>
    </row>
    <row r="80" spans="2:37" x14ac:dyDescent="0.3">
      <c r="B80" s="199"/>
      <c r="C80" s="199"/>
      <c r="D80" s="199"/>
      <c r="E80" s="199"/>
      <c r="F80" s="199"/>
      <c r="G80" s="199"/>
      <c r="H80" s="199"/>
      <c r="I80" s="199"/>
      <c r="J80" s="199"/>
      <c r="K80" s="199"/>
      <c r="L80" s="199"/>
      <c r="M80" s="199"/>
    </row>
    <row r="81" spans="2:13" x14ac:dyDescent="0.3">
      <c r="B81" s="199"/>
      <c r="C81" s="199"/>
      <c r="D81" s="199"/>
      <c r="E81" s="199"/>
      <c r="F81" s="199"/>
      <c r="G81" s="199"/>
      <c r="H81" s="199"/>
      <c r="I81" s="199"/>
      <c r="J81" s="199"/>
      <c r="K81" s="199"/>
      <c r="L81" s="199"/>
      <c r="M81" s="199"/>
    </row>
    <row r="82" spans="2:13" x14ac:dyDescent="0.3">
      <c r="B82" s="199"/>
      <c r="C82" s="199"/>
      <c r="D82" s="199"/>
      <c r="E82" s="199"/>
      <c r="F82" s="199"/>
      <c r="G82" s="199"/>
      <c r="H82" s="199"/>
      <c r="I82" s="199"/>
      <c r="J82" s="199"/>
      <c r="K82" s="199"/>
      <c r="L82" s="199"/>
      <c r="M82" s="199"/>
    </row>
    <row r="83" spans="2:13" x14ac:dyDescent="0.3">
      <c r="B83" s="199"/>
      <c r="C83" s="199"/>
      <c r="D83" s="199"/>
      <c r="E83" s="199"/>
      <c r="F83" s="199"/>
      <c r="G83" s="199"/>
      <c r="H83" s="199"/>
      <c r="I83" s="199"/>
      <c r="J83" s="199"/>
      <c r="K83" s="199"/>
      <c r="L83" s="199"/>
      <c r="M83" s="199"/>
    </row>
    <row r="84" spans="2:13" x14ac:dyDescent="0.3">
      <c r="B84" s="199"/>
      <c r="C84" s="199"/>
      <c r="D84" s="199"/>
      <c r="E84" s="199"/>
      <c r="F84" s="199"/>
      <c r="G84" s="199"/>
      <c r="H84" s="199"/>
      <c r="I84" s="199"/>
      <c r="J84" s="199"/>
      <c r="K84" s="199"/>
      <c r="L84" s="199"/>
      <c r="M84" s="199"/>
    </row>
    <row r="85" spans="2:13" x14ac:dyDescent="0.3">
      <c r="B85" s="199"/>
      <c r="C85" s="199"/>
      <c r="D85" s="199"/>
      <c r="E85" s="199"/>
      <c r="F85" s="199"/>
      <c r="G85" s="199"/>
      <c r="H85" s="199"/>
      <c r="I85" s="199"/>
      <c r="J85" s="199"/>
      <c r="K85" s="199"/>
      <c r="L85" s="199"/>
      <c r="M85" s="199"/>
    </row>
    <row r="86" spans="2:13" x14ac:dyDescent="0.3">
      <c r="B86" s="199"/>
      <c r="C86" s="199"/>
      <c r="D86" s="199"/>
      <c r="E86" s="199"/>
      <c r="F86" s="199"/>
      <c r="G86" s="199"/>
      <c r="H86" s="199"/>
      <c r="I86" s="199"/>
      <c r="J86" s="199"/>
      <c r="K86" s="199"/>
      <c r="L86" s="199"/>
      <c r="M86" s="199"/>
    </row>
    <row r="87" spans="2:13" x14ac:dyDescent="0.3">
      <c r="B87" s="199"/>
      <c r="C87" s="199"/>
      <c r="D87" s="199"/>
      <c r="E87" s="199"/>
      <c r="F87" s="199"/>
      <c r="G87" s="199"/>
      <c r="H87" s="199"/>
      <c r="I87" s="199"/>
      <c r="J87" s="199"/>
      <c r="K87" s="199"/>
      <c r="L87" s="199"/>
      <c r="M87" s="199"/>
    </row>
    <row r="88" spans="2:13" x14ac:dyDescent="0.3">
      <c r="B88" s="199"/>
      <c r="C88" s="199"/>
      <c r="D88" s="199"/>
      <c r="E88" s="199"/>
      <c r="F88" s="199"/>
      <c r="G88" s="199"/>
      <c r="H88" s="199"/>
      <c r="I88" s="199"/>
      <c r="J88" s="199"/>
      <c r="K88" s="199"/>
      <c r="L88" s="199"/>
      <c r="M88" s="199"/>
    </row>
    <row r="89" spans="2:13" x14ac:dyDescent="0.3">
      <c r="B89" s="199"/>
      <c r="C89" s="199"/>
      <c r="D89" s="199"/>
      <c r="E89" s="199"/>
      <c r="F89" s="199"/>
      <c r="G89" s="199"/>
      <c r="H89" s="199"/>
      <c r="I89" s="199"/>
      <c r="J89" s="199"/>
      <c r="K89" s="199"/>
      <c r="L89" s="199"/>
      <c r="M89" s="199"/>
    </row>
    <row r="90" spans="2:13" x14ac:dyDescent="0.3">
      <c r="B90" s="199"/>
      <c r="C90" s="199"/>
      <c r="D90" s="199"/>
      <c r="E90" s="199"/>
      <c r="F90" s="199"/>
      <c r="G90" s="199"/>
      <c r="H90" s="199"/>
      <c r="I90" s="199"/>
      <c r="J90" s="199"/>
      <c r="K90" s="199"/>
      <c r="L90" s="199"/>
      <c r="M90" s="199"/>
    </row>
    <row r="91" spans="2:13" x14ac:dyDescent="0.3">
      <c r="B91" s="199"/>
      <c r="C91" s="199"/>
      <c r="D91" s="199"/>
      <c r="E91" s="199"/>
      <c r="F91" s="199"/>
      <c r="G91" s="199"/>
      <c r="H91" s="199"/>
      <c r="I91" s="199"/>
      <c r="J91" s="199"/>
      <c r="K91" s="199"/>
      <c r="L91" s="199"/>
      <c r="M91" s="199"/>
    </row>
    <row r="92" spans="2:13" x14ac:dyDescent="0.3">
      <c r="B92" s="199"/>
      <c r="C92" s="199"/>
      <c r="D92" s="199"/>
      <c r="E92" s="199"/>
      <c r="F92" s="199"/>
      <c r="G92" s="199"/>
      <c r="H92" s="199"/>
      <c r="I92" s="199"/>
      <c r="J92" s="199"/>
      <c r="K92" s="199"/>
      <c r="L92" s="199"/>
      <c r="M92" s="199"/>
    </row>
    <row r="93" spans="2:13" x14ac:dyDescent="0.3">
      <c r="B93" s="199"/>
      <c r="C93" s="199"/>
      <c r="D93" s="199"/>
      <c r="E93" s="199"/>
      <c r="F93" s="199"/>
      <c r="G93" s="199"/>
      <c r="H93" s="199"/>
      <c r="I93" s="199"/>
      <c r="J93" s="199"/>
      <c r="K93" s="199"/>
      <c r="L93" s="199"/>
      <c r="M93" s="199"/>
    </row>
    <row r="94" spans="2:13" x14ac:dyDescent="0.3">
      <c r="B94" s="199"/>
      <c r="C94" s="199"/>
      <c r="D94" s="199"/>
      <c r="E94" s="199"/>
      <c r="F94" s="199"/>
      <c r="G94" s="199"/>
      <c r="H94" s="199"/>
      <c r="I94" s="199"/>
      <c r="J94" s="199"/>
      <c r="K94" s="199"/>
      <c r="L94" s="199"/>
      <c r="M94" s="199"/>
    </row>
    <row r="95" spans="2:13" x14ac:dyDescent="0.3">
      <c r="B95" s="199"/>
      <c r="C95" s="199"/>
      <c r="D95" s="199"/>
      <c r="E95" s="199"/>
      <c r="F95" s="199"/>
      <c r="G95" s="199"/>
      <c r="H95" s="199"/>
      <c r="I95" s="199"/>
      <c r="J95" s="199"/>
      <c r="K95" s="199"/>
      <c r="L95" s="199"/>
      <c r="M95" s="199"/>
    </row>
    <row r="96" spans="2:13" x14ac:dyDescent="0.3">
      <c r="B96" s="199"/>
      <c r="C96" s="199"/>
      <c r="D96" s="199"/>
      <c r="E96" s="199"/>
      <c r="F96" s="199"/>
      <c r="G96" s="199"/>
      <c r="H96" s="199"/>
      <c r="I96" s="199"/>
      <c r="J96" s="199"/>
      <c r="K96" s="199"/>
      <c r="L96" s="199"/>
      <c r="M96" s="199"/>
    </row>
    <row r="97" spans="2:13" x14ac:dyDescent="0.3">
      <c r="B97" s="199"/>
      <c r="C97" s="199"/>
      <c r="D97" s="199"/>
      <c r="E97" s="199"/>
      <c r="F97" s="199"/>
      <c r="G97" s="199"/>
      <c r="H97" s="199"/>
      <c r="I97" s="199"/>
      <c r="J97" s="199"/>
      <c r="K97" s="199"/>
      <c r="L97" s="199"/>
      <c r="M97" s="199"/>
    </row>
    <row r="98" spans="2:13" x14ac:dyDescent="0.3">
      <c r="B98" s="199"/>
      <c r="C98" s="199"/>
      <c r="D98" s="199"/>
      <c r="E98" s="199"/>
      <c r="F98" s="199"/>
      <c r="G98" s="199"/>
      <c r="H98" s="199"/>
      <c r="I98" s="199"/>
      <c r="J98" s="199"/>
      <c r="K98" s="199"/>
      <c r="L98" s="199"/>
      <c r="M98" s="199"/>
    </row>
    <row r="99" spans="2:13" x14ac:dyDescent="0.3">
      <c r="B99" s="199"/>
      <c r="C99" s="199"/>
      <c r="D99" s="199"/>
      <c r="E99" s="199"/>
      <c r="F99" s="199"/>
      <c r="G99" s="199"/>
      <c r="H99" s="199"/>
      <c r="I99" s="199"/>
      <c r="J99" s="199"/>
      <c r="K99" s="199"/>
      <c r="L99" s="199"/>
      <c r="M99" s="199"/>
    </row>
    <row r="100" spans="2:13" x14ac:dyDescent="0.3">
      <c r="B100" s="199"/>
      <c r="C100" s="199"/>
      <c r="D100" s="199"/>
      <c r="E100" s="199"/>
      <c r="F100" s="199"/>
      <c r="G100" s="199"/>
      <c r="H100" s="199"/>
      <c r="I100" s="199"/>
      <c r="J100" s="199"/>
      <c r="K100" s="199"/>
      <c r="L100" s="199"/>
      <c r="M100" s="199"/>
    </row>
    <row r="101" spans="2:13" x14ac:dyDescent="0.3">
      <c r="B101" s="199"/>
      <c r="C101" s="199"/>
      <c r="D101" s="199"/>
      <c r="E101" s="199"/>
      <c r="F101" s="199"/>
      <c r="G101" s="199"/>
      <c r="H101" s="199"/>
      <c r="I101" s="199"/>
      <c r="J101" s="199"/>
      <c r="K101" s="199"/>
      <c r="L101" s="199"/>
      <c r="M101" s="199"/>
    </row>
    <row r="102" spans="2:13" x14ac:dyDescent="0.3">
      <c r="B102" s="199"/>
      <c r="C102" s="199"/>
      <c r="D102" s="199"/>
      <c r="E102" s="199"/>
      <c r="F102" s="199"/>
      <c r="G102" s="199"/>
      <c r="H102" s="199"/>
      <c r="I102" s="199"/>
      <c r="J102" s="199"/>
      <c r="K102" s="199"/>
      <c r="L102" s="199"/>
      <c r="M102" s="199"/>
    </row>
    <row r="103" spans="2:13" x14ac:dyDescent="0.3">
      <c r="B103" s="199"/>
      <c r="C103" s="199"/>
      <c r="D103" s="199"/>
      <c r="E103" s="199"/>
      <c r="F103" s="199"/>
      <c r="G103" s="199"/>
      <c r="H103" s="199"/>
      <c r="I103" s="199"/>
      <c r="J103" s="199"/>
      <c r="K103" s="199"/>
      <c r="L103" s="199"/>
      <c r="M103" s="199"/>
    </row>
    <row r="104" spans="2:13" x14ac:dyDescent="0.3">
      <c r="B104" s="199"/>
      <c r="C104" s="199"/>
      <c r="D104" s="199"/>
      <c r="E104" s="199"/>
      <c r="F104" s="199"/>
      <c r="G104" s="199"/>
      <c r="H104" s="199"/>
      <c r="I104" s="199"/>
      <c r="J104" s="199"/>
      <c r="K104" s="199"/>
      <c r="L104" s="199"/>
      <c r="M104" s="199"/>
    </row>
    <row r="105" spans="2:13" x14ac:dyDescent="0.3">
      <c r="B105" s="199"/>
      <c r="C105" s="199"/>
      <c r="D105" s="199"/>
      <c r="E105" s="199"/>
      <c r="F105" s="199"/>
      <c r="G105" s="199"/>
      <c r="H105" s="199"/>
      <c r="I105" s="199"/>
      <c r="J105" s="199"/>
      <c r="K105" s="199"/>
      <c r="L105" s="199"/>
      <c r="M105" s="199"/>
    </row>
    <row r="106" spans="2:13" x14ac:dyDescent="0.3">
      <c r="B106" s="199"/>
      <c r="C106" s="199"/>
      <c r="D106" s="199"/>
      <c r="E106" s="199"/>
      <c r="F106" s="199"/>
      <c r="G106" s="199"/>
      <c r="H106" s="199"/>
      <c r="I106" s="199"/>
      <c r="J106" s="199"/>
      <c r="K106" s="199"/>
      <c r="L106" s="199"/>
      <c r="M106" s="199"/>
    </row>
    <row r="107" spans="2:13" x14ac:dyDescent="0.3">
      <c r="B107" s="199"/>
      <c r="C107" s="199"/>
      <c r="D107" s="199"/>
      <c r="E107" s="199"/>
      <c r="F107" s="199"/>
      <c r="G107" s="199"/>
      <c r="H107" s="199"/>
      <c r="I107" s="199"/>
      <c r="J107" s="199"/>
      <c r="K107" s="199"/>
      <c r="L107" s="199"/>
      <c r="M107" s="199"/>
    </row>
    <row r="108" spans="2:13" x14ac:dyDescent="0.3">
      <c r="B108" s="199"/>
      <c r="C108" s="199"/>
      <c r="D108" s="199"/>
      <c r="E108" s="199"/>
      <c r="F108" s="199"/>
      <c r="G108" s="199"/>
      <c r="H108" s="199"/>
      <c r="I108" s="199"/>
      <c r="J108" s="199"/>
      <c r="K108" s="199"/>
      <c r="L108" s="199"/>
      <c r="M108" s="199"/>
    </row>
    <row r="109" spans="2:13" x14ac:dyDescent="0.3">
      <c r="B109" s="199"/>
      <c r="C109" s="199"/>
      <c r="D109" s="199"/>
      <c r="E109" s="199"/>
      <c r="F109" s="199"/>
      <c r="G109" s="199"/>
      <c r="H109" s="199"/>
      <c r="I109" s="199"/>
      <c r="J109" s="199"/>
      <c r="K109" s="199"/>
      <c r="L109" s="199"/>
      <c r="M109" s="199"/>
    </row>
  </sheetData>
  <mergeCells count="14">
    <mergeCell ref="B51:F51"/>
    <mergeCell ref="H52:J54"/>
    <mergeCell ref="E46:G48"/>
    <mergeCell ref="B4:M8"/>
    <mergeCell ref="B23:G23"/>
    <mergeCell ref="H23:M23"/>
    <mergeCell ref="B10:M14"/>
    <mergeCell ref="H25:J27"/>
    <mergeCell ref="B16:M20"/>
    <mergeCell ref="B24:E24"/>
    <mergeCell ref="B25:G27"/>
    <mergeCell ref="B28:E28"/>
    <mergeCell ref="B29:G35"/>
    <mergeCell ref="B52:G54"/>
  </mergeCells>
  <dataValidations count="2">
    <dataValidation type="list" allowBlank="1" showInputMessage="1" showErrorMessage="1" sqref="H24" xr:uid="{79E31EBC-D3E0-42E1-ABC2-7E5EBDDEE42B}">
      <formula1>$AA$9:$AA$12</formula1>
    </dataValidation>
    <dataValidation type="list" allowBlank="1" showInputMessage="1" showErrorMessage="1" sqref="H51" xr:uid="{1365C3B6-DCF8-4056-9B29-F7A0DC546963}">
      <formula1>$AJ$51:$AJ$52</formula1>
    </dataValidation>
  </dataValidations>
  <hyperlinks>
    <hyperlink ref="H24" location="Finfo" display="Cash Flow" xr:uid="{DF5A2A6B-9680-4CD4-B4A2-2B4C626CE7C9}"/>
    <hyperlink ref="H51" location="SWOT" display="SWOT Analysis" xr:uid="{A49E284A-1C85-416A-B0B7-3C1BD83859D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2" r:id="rId3" name="Scroll Bar 6">
              <controlPr defaultSize="0" autoPict="0">
                <anchor moveWithCells="1">
                  <from>
                    <xdr:col>3</xdr:col>
                    <xdr:colOff>685800</xdr:colOff>
                    <xdr:row>44</xdr:row>
                    <xdr:rowOff>0</xdr:rowOff>
                  </from>
                  <to>
                    <xdr:col>5</xdr:col>
                    <xdr:colOff>419100</xdr:colOff>
                    <xdr:row>44</xdr:row>
                    <xdr:rowOff>209550</xdr:rowOff>
                  </to>
                </anchor>
              </controlPr>
            </control>
          </mc:Choice>
        </mc:AlternateContent>
        <mc:AlternateContent xmlns:mc="http://schemas.openxmlformats.org/markup-compatibility/2006">
          <mc:Choice Requires="x14">
            <control shapeId="4109" r:id="rId4" name="Drop Down 13">
              <controlPr defaultSize="0" autoLine="0" autoPict="0">
                <anchor moveWithCells="1">
                  <from>
                    <xdr:col>5</xdr:col>
                    <xdr:colOff>142875</xdr:colOff>
                    <xdr:row>40</xdr:row>
                    <xdr:rowOff>19050</xdr:rowOff>
                  </from>
                  <to>
                    <xdr:col>6</xdr:col>
                    <xdr:colOff>161925</xdr:colOff>
                    <xdr:row>41</xdr:row>
                    <xdr:rowOff>9525</xdr:rowOff>
                  </to>
                </anchor>
              </controlPr>
            </control>
          </mc:Choice>
        </mc:AlternateContent>
        <mc:AlternateContent xmlns:mc="http://schemas.openxmlformats.org/markup-compatibility/2006">
          <mc:Choice Requires="x14">
            <control shapeId="4112" r:id="rId5" name="Drop Down 16">
              <controlPr defaultSize="0" autoLine="0" autoPict="0">
                <anchor moveWithCells="1">
                  <from>
                    <xdr:col>5</xdr:col>
                    <xdr:colOff>152400</xdr:colOff>
                    <xdr:row>41</xdr:row>
                    <xdr:rowOff>161925</xdr:rowOff>
                  </from>
                  <to>
                    <xdr:col>6</xdr:col>
                    <xdr:colOff>161925</xdr:colOff>
                    <xdr:row>42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CD58C-DE0D-4A93-A841-2F1385637113}">
  <sheetPr codeName="Sheet5"/>
  <dimension ref="A1:Z48"/>
  <sheetViews>
    <sheetView showGridLines="0" zoomScale="90" zoomScaleNormal="90" workbookViewId="0">
      <pane xSplit="1" ySplit="2" topLeftCell="B3" activePane="bottomRight" state="frozen"/>
      <selection pane="topRight" activeCell="B1" sqref="B1"/>
      <selection pane="bottomLeft" activeCell="A7" sqref="A7"/>
      <selection pane="bottomRight" activeCell="N23" sqref="N23"/>
    </sheetView>
  </sheetViews>
  <sheetFormatPr defaultColWidth="9.140625" defaultRowHeight="16.5" x14ac:dyDescent="0.3"/>
  <cols>
    <col min="1" max="1" width="50.7109375" style="7" customWidth="1"/>
    <col min="2" max="2" width="11.7109375" style="7" bestFit="1" customWidth="1"/>
    <col min="3" max="6" width="11.85546875" style="7" bestFit="1" customWidth="1"/>
    <col min="7" max="7" width="14.140625" style="7" bestFit="1" customWidth="1"/>
    <col min="8" max="8" width="13.5703125" style="7" bestFit="1" customWidth="1"/>
    <col min="9" max="11" width="14.5703125" style="7" bestFit="1" customWidth="1"/>
    <col min="12" max="21" width="9.140625" style="7"/>
    <col min="22" max="23" width="9.28515625" style="7" bestFit="1" customWidth="1"/>
    <col min="24" max="26" width="10" style="7" bestFit="1" customWidth="1"/>
    <col min="27" max="16384" width="9.140625" style="7"/>
  </cols>
  <sheetData>
    <row r="1" spans="1:26" ht="15" customHeight="1" x14ac:dyDescent="0.3">
      <c r="A1" s="27" t="s">
        <v>98</v>
      </c>
      <c r="B1" s="23" t="s">
        <v>96</v>
      </c>
      <c r="C1" s="24"/>
      <c r="D1" s="24"/>
      <c r="E1" s="24"/>
      <c r="F1" s="24"/>
      <c r="G1" s="25" t="s">
        <v>97</v>
      </c>
      <c r="H1" s="25"/>
      <c r="I1" s="25"/>
      <c r="J1" s="25"/>
      <c r="K1" s="25"/>
      <c r="Q1" s="343" t="s">
        <v>192</v>
      </c>
      <c r="R1" s="343"/>
      <c r="S1" s="343"/>
      <c r="T1" s="343"/>
      <c r="U1" s="343"/>
      <c r="V1" s="343"/>
      <c r="W1" s="343"/>
      <c r="X1" s="343"/>
      <c r="Y1" s="343"/>
      <c r="Z1" s="343"/>
    </row>
    <row r="2" spans="1:26" s="9" customFormat="1" ht="20.25" x14ac:dyDescent="0.3">
      <c r="A2" s="22" t="s">
        <v>116</v>
      </c>
      <c r="B2" s="26">
        <v>2015</v>
      </c>
      <c r="C2" s="26">
        <v>2016</v>
      </c>
      <c r="D2" s="26">
        <v>2017</v>
      </c>
      <c r="E2" s="26">
        <v>2018</v>
      </c>
      <c r="F2" s="26">
        <v>2019</v>
      </c>
      <c r="G2" s="28">
        <v>2020</v>
      </c>
      <c r="H2" s="28">
        <v>2021</v>
      </c>
      <c r="I2" s="28">
        <v>2022</v>
      </c>
      <c r="J2" s="28">
        <v>2023</v>
      </c>
      <c r="K2" s="28">
        <v>2024</v>
      </c>
      <c r="Q2" s="84">
        <v>2015</v>
      </c>
      <c r="R2" s="84">
        <v>2016</v>
      </c>
      <c r="S2" s="84">
        <v>2017</v>
      </c>
      <c r="T2" s="84">
        <v>2018</v>
      </c>
      <c r="U2" s="84">
        <v>2019</v>
      </c>
      <c r="V2" s="85">
        <v>2020</v>
      </c>
      <c r="W2" s="85">
        <v>2021</v>
      </c>
      <c r="X2" s="85">
        <v>2022</v>
      </c>
      <c r="Y2" s="85">
        <v>2023</v>
      </c>
      <c r="Z2" s="85">
        <v>2024</v>
      </c>
    </row>
    <row r="3" spans="1:26" x14ac:dyDescent="0.3">
      <c r="A3" s="8" t="s">
        <v>8</v>
      </c>
      <c r="B3" s="10"/>
      <c r="C3" s="10"/>
      <c r="D3" s="10"/>
      <c r="E3" s="10"/>
      <c r="F3" s="10"/>
      <c r="G3" s="10"/>
      <c r="H3" s="10"/>
      <c r="I3" s="10"/>
      <c r="J3" s="10"/>
      <c r="K3" s="10"/>
      <c r="Q3" s="44">
        <v>161</v>
      </c>
      <c r="R3" s="44">
        <v>177</v>
      </c>
      <c r="S3" s="44">
        <v>233</v>
      </c>
      <c r="T3" s="44">
        <v>226</v>
      </c>
      <c r="U3" s="44">
        <v>255</v>
      </c>
      <c r="V3" s="44">
        <f>$U$6*'Balance Sheet'!H13</f>
        <v>309.7962</v>
      </c>
      <c r="W3" s="44">
        <f>$U$6*'Balance Sheet'!I13</f>
        <v>449.20448999999996</v>
      </c>
      <c r="X3" s="44">
        <f>$U$6*'Balance Sheet'!J13</f>
        <v>651.34651049999991</v>
      </c>
      <c r="Y3" s="44">
        <f>$U$6*'Balance Sheet'!K13</f>
        <v>716.48116154999991</v>
      </c>
      <c r="Z3" s="44">
        <f>$U$6*'Balance Sheet'!L13</f>
        <v>788.12927770500005</v>
      </c>
    </row>
    <row r="4" spans="1:26" x14ac:dyDescent="0.3">
      <c r="A4" s="12" t="s">
        <v>6</v>
      </c>
      <c r="B4" s="29">
        <v>32151</v>
      </c>
      <c r="C4" s="29">
        <v>29953</v>
      </c>
      <c r="D4" s="29">
        <v>25662</v>
      </c>
      <c r="E4" s="29">
        <v>21677</v>
      </c>
      <c r="F4" s="29">
        <v>22119</v>
      </c>
      <c r="G4" s="30">
        <f>G6*$G$32</f>
        <v>25395.989927596278</v>
      </c>
      <c r="H4" s="30">
        <f>H6*$G$32</f>
        <v>36824.185395014603</v>
      </c>
      <c r="I4" s="30">
        <f>I6*$G$32</f>
        <v>53395.068822771173</v>
      </c>
      <c r="J4" s="30">
        <f>J6*$G$32</f>
        <v>58734.575705048293</v>
      </c>
      <c r="K4" s="30">
        <f>K6*$G$32</f>
        <v>64608.033275553127</v>
      </c>
      <c r="Q4" s="44">
        <f>'Balance Sheet'!C13</f>
        <v>2276</v>
      </c>
      <c r="R4" s="44">
        <f>'Balance Sheet'!D13</f>
        <v>2865</v>
      </c>
      <c r="S4" s="44">
        <f>'Balance Sheet'!E13</f>
        <v>3295</v>
      </c>
      <c r="T4" s="44">
        <f>'Balance Sheet'!F13</f>
        <v>4006</v>
      </c>
      <c r="U4" s="44">
        <f>'Balance Sheet'!G13</f>
        <v>4502</v>
      </c>
      <c r="V4" s="44">
        <f>'Balance Sheet'!H13</f>
        <v>5163.2700000000004</v>
      </c>
      <c r="W4" s="44">
        <f>'Balance Sheet'!I13</f>
        <v>7486.7415000000001</v>
      </c>
      <c r="X4" s="44">
        <f>'Balance Sheet'!J13</f>
        <v>10855.775174999999</v>
      </c>
      <c r="Y4" s="44">
        <f>'Balance Sheet'!K13</f>
        <v>11941.352692499999</v>
      </c>
      <c r="Z4" s="44">
        <f>'Balance Sheet'!L13</f>
        <v>13135.487961750001</v>
      </c>
    </row>
    <row r="5" spans="1:26" x14ac:dyDescent="0.3">
      <c r="A5" s="12" t="s">
        <v>7</v>
      </c>
      <c r="B5" s="29">
        <v>488</v>
      </c>
      <c r="C5" s="29">
        <v>437</v>
      </c>
      <c r="D5" s="29">
        <v>445</v>
      </c>
      <c r="E5" s="29">
        <v>450</v>
      </c>
      <c r="F5" s="29">
        <v>330</v>
      </c>
      <c r="G5" s="30">
        <f>G6*$G$33</f>
        <v>420.36007240372163</v>
      </c>
      <c r="H5" s="30">
        <f>H6*$G$33</f>
        <v>609.52210498539637</v>
      </c>
      <c r="I5" s="30">
        <f>I6*$G$33</f>
        <v>883.80705222882455</v>
      </c>
      <c r="J5" s="30">
        <f>J6*$G$33</f>
        <v>972.18775745170706</v>
      </c>
      <c r="K5" s="30">
        <f>K6*$G$33</f>
        <v>1069.4065331968779</v>
      </c>
      <c r="Q5" s="14">
        <f>Q3/Q4</f>
        <v>7.0738137082601057E-2</v>
      </c>
      <c r="R5" s="14">
        <f t="shared" ref="R5:U5" si="0">R3/R4</f>
        <v>6.1780104712041886E-2</v>
      </c>
      <c r="S5" s="14">
        <f t="shared" si="0"/>
        <v>7.0713201820940819E-2</v>
      </c>
      <c r="T5" s="14">
        <f t="shared" si="0"/>
        <v>5.6415376934598103E-2</v>
      </c>
      <c r="U5" s="14">
        <f t="shared" si="0"/>
        <v>5.6641492669924479E-2</v>
      </c>
    </row>
    <row r="6" spans="1:26" x14ac:dyDescent="0.3">
      <c r="A6" s="7" t="s">
        <v>9</v>
      </c>
      <c r="B6" s="31">
        <f>SUM(B4:B5)</f>
        <v>32639</v>
      </c>
      <c r="C6" s="31">
        <f t="shared" ref="C6:F6" si="1">SUM(C4:C5)</f>
        <v>30390</v>
      </c>
      <c r="D6" s="31">
        <f t="shared" si="1"/>
        <v>26107</v>
      </c>
      <c r="E6" s="31">
        <f t="shared" si="1"/>
        <v>22127</v>
      </c>
      <c r="F6" s="31">
        <f t="shared" si="1"/>
        <v>22449</v>
      </c>
      <c r="G6" s="32">
        <f>F6*(1+G30)</f>
        <v>25816.35</v>
      </c>
      <c r="H6" s="32">
        <f>G6*(1+H30)</f>
        <v>37433.707499999997</v>
      </c>
      <c r="I6" s="32">
        <f>H6*(1+I30)</f>
        <v>54278.875874999991</v>
      </c>
      <c r="J6" s="32">
        <f>I6*(1+J30)</f>
        <v>59706.763462499992</v>
      </c>
      <c r="K6" s="32">
        <f>J6*(1+K30)</f>
        <v>65677.439808750001</v>
      </c>
      <c r="U6" s="66">
        <v>0.06</v>
      </c>
    </row>
    <row r="7" spans="1:26" x14ac:dyDescent="0.3">
      <c r="A7" s="8" t="s">
        <v>10</v>
      </c>
      <c r="B7" s="29"/>
      <c r="C7" s="29"/>
      <c r="D7" s="29"/>
      <c r="E7" s="29"/>
      <c r="F7" s="29"/>
      <c r="G7" s="30"/>
      <c r="H7" s="30"/>
      <c r="I7" s="30"/>
      <c r="J7" s="30"/>
      <c r="K7" s="30"/>
    </row>
    <row r="8" spans="1:26" x14ac:dyDescent="0.3">
      <c r="A8" s="12" t="s">
        <v>12</v>
      </c>
      <c r="B8" s="29">
        <v>4006</v>
      </c>
      <c r="C8" s="29">
        <v>4261</v>
      </c>
      <c r="D8" s="29">
        <v>4371</v>
      </c>
      <c r="E8" s="29">
        <v>4853</v>
      </c>
      <c r="F8" s="29">
        <v>4675</v>
      </c>
      <c r="G8" s="30">
        <f>G11*$G$35</f>
        <v>5963.5768499999986</v>
      </c>
      <c r="H8" s="30">
        <f>H11*$G$35</f>
        <v>8647.1864324999988</v>
      </c>
      <c r="I8" s="30">
        <f>I11*$G$35</f>
        <v>12538.420327124999</v>
      </c>
      <c r="J8" s="30">
        <f>J11*$G$35</f>
        <v>13792.262359837498</v>
      </c>
      <c r="K8" s="30">
        <f>K11*$G$35</f>
        <v>15171.488595821251</v>
      </c>
      <c r="V8" s="51"/>
    </row>
    <row r="9" spans="1:26" x14ac:dyDescent="0.3">
      <c r="A9" s="12" t="s">
        <v>11</v>
      </c>
      <c r="B9" s="29">
        <v>3014</v>
      </c>
      <c r="C9" s="29">
        <v>5098</v>
      </c>
      <c r="D9" s="29">
        <v>3734</v>
      </c>
      <c r="E9" s="29">
        <v>5018</v>
      </c>
      <c r="F9" s="29">
        <v>9106</v>
      </c>
      <c r="G9" s="30">
        <f>G11*$G$36</f>
        <v>7590.0068999999985</v>
      </c>
      <c r="H9" s="30">
        <f>H11*$G$36</f>
        <v>11005.510004999998</v>
      </c>
      <c r="I9" s="30">
        <f>I11*$G$36</f>
        <v>15957.989507249997</v>
      </c>
      <c r="J9" s="30">
        <f>J11*$G$36</f>
        <v>17553.788457974995</v>
      </c>
      <c r="K9" s="30">
        <f>K11*$G$36</f>
        <v>19309.167303772498</v>
      </c>
    </row>
    <row r="10" spans="1:26" x14ac:dyDescent="0.3">
      <c r="A10" s="12" t="s">
        <v>13</v>
      </c>
      <c r="B10" s="29">
        <v>3426</v>
      </c>
      <c r="C10" s="29">
        <v>3398</v>
      </c>
      <c r="D10" s="29">
        <v>3878</v>
      </c>
      <c r="E10" s="29">
        <v>4056</v>
      </c>
      <c r="F10" s="29">
        <v>4381</v>
      </c>
      <c r="G10" s="30">
        <f>G11*$G$37</f>
        <v>4517.861249999999</v>
      </c>
      <c r="H10" s="30">
        <f>H11*$G$37</f>
        <v>6550.8988124999987</v>
      </c>
      <c r="I10" s="30">
        <f>I11*$G$37</f>
        <v>9498.8032781249985</v>
      </c>
      <c r="J10" s="30">
        <f>J11*$G$37</f>
        <v>10448.683605937498</v>
      </c>
      <c r="K10" s="30">
        <f>K11*$G$37</f>
        <v>11493.551966531249</v>
      </c>
    </row>
    <row r="11" spans="1:26" x14ac:dyDescent="0.3">
      <c r="A11" s="7" t="s">
        <v>14</v>
      </c>
      <c r="B11" s="31">
        <f t="shared" ref="B11:E11" si="2">SUM(B8:B10)</f>
        <v>10446</v>
      </c>
      <c r="C11" s="31">
        <f t="shared" si="2"/>
        <v>12757</v>
      </c>
      <c r="D11" s="31">
        <f t="shared" si="2"/>
        <v>11983</v>
      </c>
      <c r="E11" s="31">
        <f t="shared" si="2"/>
        <v>13927</v>
      </c>
      <c r="F11" s="31">
        <f>SUM(F8:F10)</f>
        <v>18162</v>
      </c>
      <c r="G11" s="32">
        <f>G6*$G$34</f>
        <v>18071.444999999996</v>
      </c>
      <c r="H11" s="32">
        <f>H6*$G$34</f>
        <v>26203.595249999995</v>
      </c>
      <c r="I11" s="32">
        <f>I6*$G$34</f>
        <v>37995.213112499994</v>
      </c>
      <c r="J11" s="32">
        <f>J6*$G$34</f>
        <v>41794.734423749993</v>
      </c>
      <c r="K11" s="32">
        <f>K6*$G$34</f>
        <v>45974.207866124998</v>
      </c>
    </row>
    <row r="12" spans="1:26" x14ac:dyDescent="0.3">
      <c r="A12" s="7" t="s">
        <v>15</v>
      </c>
      <c r="B12" s="29">
        <f>B6-B11</f>
        <v>22193</v>
      </c>
      <c r="C12" s="29">
        <f t="shared" ref="C12:K12" si="3">C6-C11</f>
        <v>17633</v>
      </c>
      <c r="D12" s="29">
        <f t="shared" si="3"/>
        <v>14124</v>
      </c>
      <c r="E12" s="29">
        <f t="shared" si="3"/>
        <v>8200</v>
      </c>
      <c r="F12" s="29">
        <f t="shared" si="3"/>
        <v>4287</v>
      </c>
      <c r="G12" s="30">
        <f t="shared" si="3"/>
        <v>7744.9050000000025</v>
      </c>
      <c r="H12" s="30">
        <f t="shared" si="3"/>
        <v>11230.112250000002</v>
      </c>
      <c r="I12" s="30">
        <f t="shared" si="3"/>
        <v>16283.662762499996</v>
      </c>
      <c r="J12" s="30">
        <f t="shared" si="3"/>
        <v>17912.029038749999</v>
      </c>
      <c r="K12" s="30">
        <f t="shared" si="3"/>
        <v>19703.231942625003</v>
      </c>
    </row>
    <row r="13" spans="1:26" x14ac:dyDescent="0.3">
      <c r="A13" s="7" t="s">
        <v>16</v>
      </c>
      <c r="B13" s="29">
        <v>-688</v>
      </c>
      <c r="C13" s="29">
        <v>-964</v>
      </c>
      <c r="D13" s="29">
        <v>-1118</v>
      </c>
      <c r="E13" s="29">
        <v>-1077</v>
      </c>
      <c r="F13" s="29">
        <v>-995</v>
      </c>
      <c r="G13" s="30">
        <f>$G$40*('Balance Sheet'!H25+'Balance Sheet'!H27)</f>
        <v>886.95999000000006</v>
      </c>
      <c r="H13" s="30">
        <f>$G$40*('Balance Sheet'!I25+'Balance Sheet'!I27)</f>
        <v>1020.0039884999998</v>
      </c>
      <c r="I13" s="30">
        <f>$G$40*('Balance Sheet'!J25+'Balance Sheet'!J27)</f>
        <v>1479.005783325</v>
      </c>
      <c r="J13" s="30">
        <f>$G$40*('Balance Sheet'!K25+'Balance Sheet'!K27)</f>
        <v>2144.5583858212494</v>
      </c>
      <c r="K13" s="30">
        <f>$G$40*('Balance Sheet'!L25+'Balance Sheet'!L27)</f>
        <v>2359.0142244033741</v>
      </c>
    </row>
    <row r="14" spans="1:26" x14ac:dyDescent="0.3">
      <c r="A14" s="7" t="s">
        <v>81</v>
      </c>
      <c r="B14" s="29">
        <v>154</v>
      </c>
      <c r="C14" s="29">
        <v>428</v>
      </c>
      <c r="D14" s="29">
        <v>523</v>
      </c>
      <c r="E14" s="29">
        <v>676</v>
      </c>
      <c r="F14" s="29">
        <v>1868</v>
      </c>
      <c r="G14" s="30">
        <f>G11*$G$41</f>
        <v>1626.4300499999995</v>
      </c>
      <c r="H14" s="30">
        <f>H11*$G$41</f>
        <v>2358.3235724999995</v>
      </c>
      <c r="I14" s="30">
        <f>I11*$G$41</f>
        <v>3419.5691801249995</v>
      </c>
      <c r="J14" s="30">
        <f>J11*$G$41</f>
        <v>3761.526098137499</v>
      </c>
      <c r="K14" s="30">
        <f>K11*$G$41</f>
        <v>4137.6787079512496</v>
      </c>
    </row>
    <row r="15" spans="1:26" x14ac:dyDescent="0.3">
      <c r="A15" s="7" t="s">
        <v>17</v>
      </c>
      <c r="B15" s="33">
        <f t="shared" ref="B15:E15" si="4">SUM(B12:B14)</f>
        <v>21659</v>
      </c>
      <c r="C15" s="33">
        <f t="shared" si="4"/>
        <v>17097</v>
      </c>
      <c r="D15" s="33">
        <f t="shared" si="4"/>
        <v>13529</v>
      </c>
      <c r="E15" s="33">
        <f t="shared" si="4"/>
        <v>7799</v>
      </c>
      <c r="F15" s="33">
        <f>SUM(F12:F14)</f>
        <v>5160</v>
      </c>
      <c r="G15" s="34">
        <f t="shared" ref="G15:K15" si="5">SUM(G12:G14)</f>
        <v>10258.295040000001</v>
      </c>
      <c r="H15" s="34">
        <f t="shared" si="5"/>
        <v>14608.439811000002</v>
      </c>
      <c r="I15" s="34">
        <f t="shared" si="5"/>
        <v>21182.237725949995</v>
      </c>
      <c r="J15" s="34">
        <f t="shared" si="5"/>
        <v>23818.113522708747</v>
      </c>
      <c r="K15" s="34">
        <f t="shared" si="5"/>
        <v>26199.924874979628</v>
      </c>
    </row>
    <row r="16" spans="1:26" x14ac:dyDescent="0.3">
      <c r="A16" s="7" t="s">
        <v>18</v>
      </c>
      <c r="B16" s="29">
        <v>3553</v>
      </c>
      <c r="C16" s="29">
        <v>3609</v>
      </c>
      <c r="D16" s="29">
        <v>8885</v>
      </c>
      <c r="E16" s="29">
        <v>2339</v>
      </c>
      <c r="F16" s="29">
        <v>-204</v>
      </c>
      <c r="G16" s="30">
        <f>G15*$G$43</f>
        <v>2154.2419583999999</v>
      </c>
      <c r="H16" s="30">
        <f>H15*$G$43</f>
        <v>3067.7723603100003</v>
      </c>
      <c r="I16" s="30">
        <f>I15*$G$43</f>
        <v>4448.2699224494991</v>
      </c>
      <c r="J16" s="30">
        <f>J15*$G$43</f>
        <v>5001.803839768837</v>
      </c>
      <c r="K16" s="30">
        <f>K15*$G$43</f>
        <v>5501.9842237457215</v>
      </c>
    </row>
    <row r="17" spans="1:26" x14ac:dyDescent="0.3">
      <c r="A17" s="8" t="s">
        <v>0</v>
      </c>
      <c r="B17" s="33">
        <f t="shared" ref="B17:E17" si="6">B15-B16</f>
        <v>18106</v>
      </c>
      <c r="C17" s="33">
        <f t="shared" si="6"/>
        <v>13488</v>
      </c>
      <c r="D17" s="33">
        <f t="shared" si="6"/>
        <v>4644</v>
      </c>
      <c r="E17" s="33">
        <f t="shared" si="6"/>
        <v>5460</v>
      </c>
      <c r="F17" s="33">
        <f>F15-F16</f>
        <v>5364</v>
      </c>
      <c r="G17" s="34">
        <f t="shared" ref="G17:K17" si="7">G15-G16</f>
        <v>8104.053081600001</v>
      </c>
      <c r="H17" s="34">
        <f t="shared" si="7"/>
        <v>11540.667450690002</v>
      </c>
      <c r="I17" s="34">
        <f t="shared" si="7"/>
        <v>16733.967803500498</v>
      </c>
      <c r="J17" s="34">
        <f t="shared" si="7"/>
        <v>18816.309682939911</v>
      </c>
      <c r="K17" s="34">
        <f t="shared" si="7"/>
        <v>20697.940651233905</v>
      </c>
    </row>
    <row r="18" spans="1:26" x14ac:dyDescent="0.3">
      <c r="A18" s="7" t="s">
        <v>19</v>
      </c>
      <c r="B18" s="29">
        <v>-2</v>
      </c>
      <c r="C18" s="29">
        <v>-13</v>
      </c>
      <c r="D18" s="29">
        <v>16</v>
      </c>
      <c r="E18" s="29">
        <v>5</v>
      </c>
      <c r="F18" s="29">
        <v>-22</v>
      </c>
      <c r="G18" s="30">
        <f>G17*$G$44</f>
        <v>24.312159244800004</v>
      </c>
      <c r="H18" s="30">
        <f t="shared" ref="H18:K18" si="8">H17*$G$44</f>
        <v>34.622002352070005</v>
      </c>
      <c r="I18" s="30">
        <f t="shared" si="8"/>
        <v>50.201903410501494</v>
      </c>
      <c r="J18" s="30">
        <f t="shared" si="8"/>
        <v>56.448929048819735</v>
      </c>
      <c r="K18" s="30">
        <f t="shared" si="8"/>
        <v>62.093821953701713</v>
      </c>
    </row>
    <row r="19" spans="1:26" ht="17.25" thickBot="1" x14ac:dyDescent="0.35">
      <c r="A19" s="7" t="s">
        <v>20</v>
      </c>
      <c r="B19" s="35">
        <f t="shared" ref="B19:E19" si="9">B17-B18</f>
        <v>18108</v>
      </c>
      <c r="C19" s="35">
        <f t="shared" si="9"/>
        <v>13501</v>
      </c>
      <c r="D19" s="35">
        <f t="shared" si="9"/>
        <v>4628</v>
      </c>
      <c r="E19" s="35">
        <f t="shared" si="9"/>
        <v>5455</v>
      </c>
      <c r="F19" s="35">
        <f>F17-F18</f>
        <v>5386</v>
      </c>
      <c r="G19" s="36">
        <f t="shared" ref="G19:K19" si="10">G17-G18</f>
        <v>8079.7409223552013</v>
      </c>
      <c r="H19" s="36">
        <f t="shared" si="10"/>
        <v>11506.045448337933</v>
      </c>
      <c r="I19" s="36">
        <f t="shared" si="10"/>
        <v>16683.765900089995</v>
      </c>
      <c r="J19" s="36">
        <f t="shared" si="10"/>
        <v>18759.860753891091</v>
      </c>
      <c r="K19" s="36">
        <f t="shared" si="10"/>
        <v>20635.846829280203</v>
      </c>
    </row>
    <row r="20" spans="1:26" ht="17.25" thickTop="1" x14ac:dyDescent="0.3">
      <c r="B20" s="29"/>
      <c r="C20" s="29"/>
      <c r="D20" s="29"/>
      <c r="E20" s="29"/>
      <c r="F20" s="29"/>
      <c r="G20" s="30"/>
      <c r="H20" s="30"/>
      <c r="I20" s="30"/>
      <c r="J20" s="30"/>
      <c r="K20" s="30"/>
    </row>
    <row r="21" spans="1:26" x14ac:dyDescent="0.3">
      <c r="A21" s="7" t="s">
        <v>51</v>
      </c>
      <c r="B21" s="37">
        <v>12732</v>
      </c>
      <c r="C21" s="37">
        <f t="shared" ref="C21:K21" si="11">B26</f>
        <v>18001</v>
      </c>
      <c r="D21" s="37">
        <f t="shared" si="11"/>
        <v>18154</v>
      </c>
      <c r="E21" s="37">
        <f t="shared" si="11"/>
        <v>19012</v>
      </c>
      <c r="F21" s="37">
        <f t="shared" si="11"/>
        <v>19024</v>
      </c>
      <c r="G21" s="38">
        <f t="shared" si="11"/>
        <v>19388</v>
      </c>
      <c r="H21" s="38">
        <f t="shared" si="11"/>
        <v>20681.096368942079</v>
      </c>
      <c r="I21" s="38">
        <f t="shared" si="11"/>
        <v>23215.404911383041</v>
      </c>
      <c r="J21" s="38">
        <f t="shared" si="11"/>
        <v>27567.370780280737</v>
      </c>
      <c r="K21" s="38">
        <f t="shared" si="11"/>
        <v>32314.578003809103</v>
      </c>
    </row>
    <row r="22" spans="1:26" x14ac:dyDescent="0.3">
      <c r="A22" s="7" t="s">
        <v>52</v>
      </c>
      <c r="B22" s="39">
        <f t="shared" ref="B22:K22" si="12">B19</f>
        <v>18108</v>
      </c>
      <c r="C22" s="39">
        <f t="shared" si="12"/>
        <v>13501</v>
      </c>
      <c r="D22" s="39">
        <f t="shared" si="12"/>
        <v>4628</v>
      </c>
      <c r="E22" s="39">
        <f t="shared" si="12"/>
        <v>5455</v>
      </c>
      <c r="F22" s="39">
        <f t="shared" si="12"/>
        <v>5386</v>
      </c>
      <c r="G22" s="40">
        <f t="shared" si="12"/>
        <v>8079.7409223552013</v>
      </c>
      <c r="H22" s="40">
        <f t="shared" si="12"/>
        <v>11506.045448337933</v>
      </c>
      <c r="I22" s="40">
        <f t="shared" si="12"/>
        <v>16683.765900089995</v>
      </c>
      <c r="J22" s="40">
        <f t="shared" si="12"/>
        <v>18759.860753891091</v>
      </c>
      <c r="K22" s="40">
        <f t="shared" si="12"/>
        <v>20635.846829280203</v>
      </c>
    </row>
    <row r="23" spans="1:26" x14ac:dyDescent="0.3">
      <c r="A23" s="7" t="s">
        <v>85</v>
      </c>
      <c r="B23" s="41">
        <f>SUM(B21:B22)</f>
        <v>30840</v>
      </c>
      <c r="C23" s="41">
        <f t="shared" ref="C23:K23" si="13">SUM(C21:C22)</f>
        <v>31502</v>
      </c>
      <c r="D23" s="41">
        <f t="shared" si="13"/>
        <v>22782</v>
      </c>
      <c r="E23" s="41">
        <f t="shared" si="13"/>
        <v>24467</v>
      </c>
      <c r="F23" s="41">
        <f t="shared" si="13"/>
        <v>24410</v>
      </c>
      <c r="G23" s="42">
        <f t="shared" si="13"/>
        <v>27467.740922355202</v>
      </c>
      <c r="H23" s="42">
        <f t="shared" si="13"/>
        <v>32187.141817280011</v>
      </c>
      <c r="I23" s="42">
        <f t="shared" si="13"/>
        <v>39899.170811473035</v>
      </c>
      <c r="J23" s="42">
        <f t="shared" si="13"/>
        <v>46327.231534171828</v>
      </c>
      <c r="K23" s="42">
        <f t="shared" si="13"/>
        <v>52950.424833089302</v>
      </c>
    </row>
    <row r="24" spans="1:26" x14ac:dyDescent="0.3">
      <c r="A24" s="7" t="s">
        <v>53</v>
      </c>
      <c r="B24" s="41">
        <v>-10949</v>
      </c>
      <c r="C24" s="41">
        <v>-10883</v>
      </c>
      <c r="D24" s="41">
        <v>-1028</v>
      </c>
      <c r="E24" s="41">
        <v>-2457</v>
      </c>
      <c r="F24" s="41">
        <v>-1783</v>
      </c>
      <c r="G24" s="42">
        <f>-G23*$G$45</f>
        <v>-2746.7740922355206</v>
      </c>
      <c r="H24" s="42">
        <f t="shared" ref="H24:K24" si="14">-H23*$G$45</f>
        <v>-3218.7141817280012</v>
      </c>
      <c r="I24" s="42">
        <f t="shared" si="14"/>
        <v>-3989.9170811473036</v>
      </c>
      <c r="J24" s="42">
        <f t="shared" si="14"/>
        <v>-4632.7231534171833</v>
      </c>
      <c r="K24" s="42">
        <f t="shared" si="14"/>
        <v>-5295.042483308931</v>
      </c>
    </row>
    <row r="25" spans="1:26" x14ac:dyDescent="0.3">
      <c r="A25" s="7" t="s">
        <v>45</v>
      </c>
      <c r="B25" s="39">
        <v>-1890</v>
      </c>
      <c r="C25" s="39">
        <v>-2465</v>
      </c>
      <c r="D25" s="39">
        <v>-2742</v>
      </c>
      <c r="E25" s="39">
        <v>-2986</v>
      </c>
      <c r="F25" s="39">
        <v>-3239</v>
      </c>
      <c r="G25" s="40">
        <f>-G19*$G$46</f>
        <v>-4039.8704611776006</v>
      </c>
      <c r="H25" s="40">
        <f t="shared" ref="H25:K25" si="15">-H19*$G$46</f>
        <v>-5753.0227241689663</v>
      </c>
      <c r="I25" s="40">
        <f t="shared" si="15"/>
        <v>-8341.8829500449974</v>
      </c>
      <c r="J25" s="40">
        <f t="shared" si="15"/>
        <v>-9379.9303769455455</v>
      </c>
      <c r="K25" s="40">
        <f t="shared" si="15"/>
        <v>-10317.923414640101</v>
      </c>
    </row>
    <row r="26" spans="1:26" ht="17.25" thickBot="1" x14ac:dyDescent="0.35">
      <c r="A26" s="7" t="s">
        <v>54</v>
      </c>
      <c r="B26" s="35">
        <f>SUM(B23:B25)</f>
        <v>18001</v>
      </c>
      <c r="C26" s="35">
        <f t="shared" ref="C26:K26" si="16">SUM(C23:C25)</f>
        <v>18154</v>
      </c>
      <c r="D26" s="35">
        <f t="shared" si="16"/>
        <v>19012</v>
      </c>
      <c r="E26" s="35">
        <f t="shared" si="16"/>
        <v>19024</v>
      </c>
      <c r="F26" s="35">
        <f t="shared" si="16"/>
        <v>19388</v>
      </c>
      <c r="G26" s="36">
        <f t="shared" si="16"/>
        <v>20681.096368942079</v>
      </c>
      <c r="H26" s="36">
        <f t="shared" si="16"/>
        <v>23215.404911383041</v>
      </c>
      <c r="I26" s="36">
        <f t="shared" si="16"/>
        <v>27567.370780280737</v>
      </c>
      <c r="J26" s="36">
        <f>SUM(J23:J25)</f>
        <v>32314.578003809103</v>
      </c>
      <c r="K26" s="36">
        <f t="shared" si="16"/>
        <v>37337.458935140268</v>
      </c>
    </row>
    <row r="27" spans="1:26" ht="17.25" thickTop="1" x14ac:dyDescent="0.3"/>
    <row r="28" spans="1:26" x14ac:dyDescent="0.3">
      <c r="A28" s="67" t="s">
        <v>86</v>
      </c>
    </row>
    <row r="29" spans="1:26" x14ac:dyDescent="0.3">
      <c r="A29" s="13" t="s">
        <v>8</v>
      </c>
      <c r="L29" s="203" t="s">
        <v>243</v>
      </c>
      <c r="M29" s="204"/>
    </row>
    <row r="30" spans="1:26" x14ac:dyDescent="0.3">
      <c r="A30" s="12" t="s">
        <v>78</v>
      </c>
      <c r="C30" s="14">
        <f>(C6-B6)/B6</f>
        <v>-6.8905297343668612E-2</v>
      </c>
      <c r="D30" s="14">
        <f>(D6-C6)/C6</f>
        <v>-0.14093451793353076</v>
      </c>
      <c r="E30" s="14">
        <f>(E6-D6)/D6</f>
        <v>-0.15244953460757651</v>
      </c>
      <c r="F30" s="14">
        <f>(F6-E6)/E6</f>
        <v>1.4552356849098386E-2</v>
      </c>
      <c r="G30" s="15">
        <v>0.15</v>
      </c>
      <c r="H30" s="15">
        <v>0.45</v>
      </c>
      <c r="I30" s="15">
        <v>0.45</v>
      </c>
      <c r="J30" s="15">
        <v>0.1</v>
      </c>
      <c r="K30" s="15">
        <v>0.1</v>
      </c>
      <c r="L30" s="344" t="s">
        <v>244</v>
      </c>
      <c r="M30" s="345"/>
      <c r="N30" s="345"/>
      <c r="O30" s="345"/>
      <c r="P30" s="345"/>
      <c r="Q30" s="345"/>
      <c r="R30" s="345"/>
      <c r="S30" s="345"/>
      <c r="T30" s="345"/>
      <c r="U30" s="345"/>
      <c r="V30" s="345"/>
      <c r="W30" s="345"/>
      <c r="X30" s="345"/>
      <c r="Y30" s="345"/>
      <c r="Z30" s="346"/>
    </row>
    <row r="31" spans="1:26" x14ac:dyDescent="0.3">
      <c r="A31" s="12" t="s">
        <v>79</v>
      </c>
      <c r="L31" s="347"/>
      <c r="M31" s="348"/>
      <c r="N31" s="348"/>
      <c r="O31" s="348"/>
      <c r="P31" s="348"/>
      <c r="Q31" s="348"/>
      <c r="R31" s="348"/>
      <c r="S31" s="348"/>
      <c r="T31" s="348"/>
      <c r="U31" s="348"/>
      <c r="V31" s="348"/>
      <c r="W31" s="348"/>
      <c r="X31" s="348"/>
      <c r="Y31" s="348"/>
      <c r="Z31" s="349"/>
    </row>
    <row r="32" spans="1:26" x14ac:dyDescent="0.3">
      <c r="A32" s="17" t="s">
        <v>6</v>
      </c>
      <c r="B32" s="14">
        <f>B4/$B$6</f>
        <v>0.98504856153681175</v>
      </c>
      <c r="C32" s="14">
        <f>C4/$C$6</f>
        <v>0.98562026982560058</v>
      </c>
      <c r="D32" s="14">
        <f>D4/$D$6</f>
        <v>0.9829547630903589</v>
      </c>
      <c r="E32" s="14">
        <f>E4/$E$6</f>
        <v>0.97966285533511099</v>
      </c>
      <c r="F32" s="14">
        <f>F4/$F$6</f>
        <v>0.98530001336362416</v>
      </c>
      <c r="G32" s="18">
        <f>AVERAGE(B32:F32)</f>
        <v>0.98371729263030139</v>
      </c>
      <c r="L32" s="347"/>
      <c r="M32" s="348"/>
      <c r="N32" s="348"/>
      <c r="O32" s="348"/>
      <c r="P32" s="348"/>
      <c r="Q32" s="348"/>
      <c r="R32" s="348"/>
      <c r="S32" s="348"/>
      <c r="T32" s="348"/>
      <c r="U32" s="348"/>
      <c r="V32" s="348"/>
      <c r="W32" s="348"/>
      <c r="X32" s="348"/>
      <c r="Y32" s="348"/>
      <c r="Z32" s="349"/>
    </row>
    <row r="33" spans="1:26" x14ac:dyDescent="0.3">
      <c r="A33" s="17" t="s">
        <v>7</v>
      </c>
      <c r="B33" s="14">
        <f>B5/$B$6</f>
        <v>1.4951438463188211E-2</v>
      </c>
      <c r="C33" s="14">
        <f>C5/$C$6</f>
        <v>1.4379730174399474E-2</v>
      </c>
      <c r="D33" s="14">
        <f>D5/$D$6</f>
        <v>1.7045236909641093E-2</v>
      </c>
      <c r="E33" s="14">
        <f>E5/$E$6</f>
        <v>2.0337144664889048E-2</v>
      </c>
      <c r="F33" s="14">
        <f>F5/$F$6</f>
        <v>1.4699986636375785E-2</v>
      </c>
      <c r="G33" s="18">
        <f>AVERAGE(B33:F33)</f>
        <v>1.6282707369698723E-2</v>
      </c>
      <c r="L33" s="347"/>
      <c r="M33" s="348"/>
      <c r="N33" s="348"/>
      <c r="O33" s="348"/>
      <c r="P33" s="348"/>
      <c r="Q33" s="348"/>
      <c r="R33" s="348"/>
      <c r="S33" s="348"/>
      <c r="T33" s="348"/>
      <c r="U33" s="348"/>
      <c r="V33" s="348"/>
      <c r="W33" s="348"/>
      <c r="X33" s="348"/>
      <c r="Y33" s="348"/>
      <c r="Z33" s="349"/>
    </row>
    <row r="34" spans="1:26" x14ac:dyDescent="0.3">
      <c r="A34" s="13" t="s">
        <v>80</v>
      </c>
      <c r="B34" s="14">
        <f>B11/B6</f>
        <v>0.3200465700542296</v>
      </c>
      <c r="C34" s="14">
        <f t="shared" ref="C34:F34" si="17">C11/C6</f>
        <v>0.41977624218492926</v>
      </c>
      <c r="D34" s="14">
        <f t="shared" si="17"/>
        <v>0.45899567165894206</v>
      </c>
      <c r="E34" s="14">
        <f t="shared" si="17"/>
        <v>0.62941203055091066</v>
      </c>
      <c r="F34" s="14">
        <f t="shared" si="17"/>
        <v>0.80903380996926366</v>
      </c>
      <c r="G34" s="18">
        <v>0.7</v>
      </c>
      <c r="L34" s="350"/>
      <c r="M34" s="351"/>
      <c r="N34" s="351"/>
      <c r="O34" s="351"/>
      <c r="P34" s="351"/>
      <c r="Q34" s="351"/>
      <c r="R34" s="351"/>
      <c r="S34" s="351"/>
      <c r="T34" s="351"/>
      <c r="U34" s="351"/>
      <c r="V34" s="351"/>
      <c r="W34" s="351"/>
      <c r="X34" s="351"/>
      <c r="Y34" s="351"/>
      <c r="Z34" s="352"/>
    </row>
    <row r="35" spans="1:26" x14ac:dyDescent="0.3">
      <c r="A35" s="12" t="s">
        <v>12</v>
      </c>
      <c r="B35" s="14">
        <f>B8/B11</f>
        <v>0.38349607505265171</v>
      </c>
      <c r="C35" s="14">
        <f t="shared" ref="C35:F35" si="18">C8/C11</f>
        <v>0.33401269891040214</v>
      </c>
      <c r="D35" s="14">
        <f t="shared" si="18"/>
        <v>0.36476675289994159</v>
      </c>
      <c r="E35" s="14">
        <f t="shared" si="18"/>
        <v>0.34845982623680621</v>
      </c>
      <c r="F35" s="14">
        <f t="shared" si="18"/>
        <v>0.25740557207356018</v>
      </c>
      <c r="G35" s="19">
        <v>0.33</v>
      </c>
      <c r="H35" s="7" t="s">
        <v>246</v>
      </c>
    </row>
    <row r="36" spans="1:26" ht="16.5" customHeight="1" x14ac:dyDescent="0.3">
      <c r="A36" s="12" t="s">
        <v>11</v>
      </c>
      <c r="B36" s="14">
        <f>B9/B11</f>
        <v>0.28853149530920924</v>
      </c>
      <c r="C36" s="14">
        <f t="shared" ref="C36:F36" si="19">C9/C11</f>
        <v>0.39962373598808498</v>
      </c>
      <c r="D36" s="14">
        <f t="shared" si="19"/>
        <v>0.31160811149127932</v>
      </c>
      <c r="E36" s="14">
        <f t="shared" si="19"/>
        <v>0.36030731672291233</v>
      </c>
      <c r="F36" s="14">
        <f t="shared" si="19"/>
        <v>0.50137650038542014</v>
      </c>
      <c r="G36" s="19">
        <v>0.42</v>
      </c>
      <c r="H36" s="353" t="s">
        <v>245</v>
      </c>
      <c r="I36" s="353"/>
      <c r="J36" s="353"/>
      <c r="K36" s="353"/>
      <c r="L36" s="353"/>
      <c r="M36" s="353"/>
      <c r="N36" s="353"/>
      <c r="O36" s="353"/>
      <c r="P36" s="353"/>
      <c r="Q36" s="353"/>
      <c r="R36" s="353"/>
      <c r="S36" s="353"/>
      <c r="T36" s="353"/>
      <c r="U36" s="353"/>
      <c r="V36" s="201"/>
      <c r="W36" s="201"/>
      <c r="X36" s="201"/>
      <c r="Y36" s="201"/>
      <c r="Z36" s="201"/>
    </row>
    <row r="37" spans="1:26" x14ac:dyDescent="0.3">
      <c r="A37" s="12" t="s">
        <v>13</v>
      </c>
      <c r="B37" s="14">
        <f>B10/B11</f>
        <v>0.327972429638139</v>
      </c>
      <c r="C37" s="14">
        <f t="shared" ref="C37:F37" si="20">C10/C11</f>
        <v>0.26636356510151288</v>
      </c>
      <c r="D37" s="14">
        <f t="shared" si="20"/>
        <v>0.32362513560877909</v>
      </c>
      <c r="E37" s="14">
        <f t="shared" si="20"/>
        <v>0.29123285704028146</v>
      </c>
      <c r="F37" s="14">
        <f t="shared" si="20"/>
        <v>0.2412179275410197</v>
      </c>
      <c r="G37" s="19">
        <v>0.25</v>
      </c>
      <c r="H37" s="7" t="s">
        <v>400</v>
      </c>
    </row>
    <row r="38" spans="1:26" x14ac:dyDescent="0.3">
      <c r="G38" s="21">
        <f>SUM(G35:G37)</f>
        <v>1</v>
      </c>
    </row>
    <row r="40" spans="1:26" x14ac:dyDescent="0.3">
      <c r="A40" s="7" t="s">
        <v>16</v>
      </c>
      <c r="B40" s="14">
        <f>-B13/('Balance Sheet'!C25+'Balance Sheet'!C27)</f>
        <v>3.1194740421673091E-2</v>
      </c>
      <c r="C40" s="14">
        <f>-C13/('Balance Sheet'!D25+'Balance Sheet'!D27)</f>
        <v>3.6589994686100358E-2</v>
      </c>
      <c r="D40" s="14">
        <f>-D13/('Balance Sheet'!E25+'Balance Sheet'!E27)</f>
        <v>3.3331345775445713E-2</v>
      </c>
      <c r="E40" s="14">
        <f>-E13/('Balance Sheet'!F25+'Balance Sheet'!F27)</f>
        <v>3.9418783397994289E-2</v>
      </c>
      <c r="F40" s="14">
        <f>-F13/('Balance Sheet'!G25+'Balance Sheet'!G27)</f>
        <v>4.0458667100394419E-2</v>
      </c>
      <c r="G40" s="15">
        <v>0.03</v>
      </c>
      <c r="H40" s="202" t="s">
        <v>401</v>
      </c>
      <c r="I40" s="202"/>
      <c r="J40" s="202"/>
      <c r="K40" s="202"/>
      <c r="L40" s="202"/>
      <c r="M40" s="202"/>
      <c r="N40" s="202"/>
      <c r="O40" s="202"/>
      <c r="P40" s="202"/>
      <c r="Q40" s="202"/>
    </row>
    <row r="41" spans="1:26" x14ac:dyDescent="0.3">
      <c r="A41" s="7" t="s">
        <v>81</v>
      </c>
      <c r="B41" s="14">
        <f>B14/B11</f>
        <v>1.4742485161784415E-2</v>
      </c>
      <c r="C41" s="14">
        <f>C14/C11</f>
        <v>3.3550207729089912E-2</v>
      </c>
      <c r="D41" s="14">
        <f>D14/D11</f>
        <v>4.364516398230827E-2</v>
      </c>
      <c r="E41" s="14">
        <f>E14/E11</f>
        <v>4.8538809506713576E-2</v>
      </c>
      <c r="F41" s="14">
        <f>F14/F11</f>
        <v>0.10285210879859047</v>
      </c>
      <c r="G41" s="19">
        <v>0.09</v>
      </c>
      <c r="H41" s="7" t="s">
        <v>407</v>
      </c>
    </row>
    <row r="42" spans="1:26" x14ac:dyDescent="0.3">
      <c r="A42" s="7" t="s">
        <v>82</v>
      </c>
      <c r="B42" s="14">
        <f>B17/B6</f>
        <v>0.55473513281656917</v>
      </c>
      <c r="C42" s="14">
        <f>C17/C6</f>
        <v>0.44383020730503453</v>
      </c>
      <c r="D42" s="14">
        <f>D17/D6</f>
        <v>0.17788332631095108</v>
      </c>
      <c r="E42" s="14">
        <f>E17/E6</f>
        <v>0.24675735526732046</v>
      </c>
      <c r="F42" s="14">
        <f>F17/F6</f>
        <v>0.23894160096218095</v>
      </c>
      <c r="G42" s="20">
        <v>0.375</v>
      </c>
      <c r="H42" s="7" t="s">
        <v>248</v>
      </c>
    </row>
    <row r="43" spans="1:26" x14ac:dyDescent="0.3">
      <c r="A43" s="7" t="s">
        <v>83</v>
      </c>
      <c r="B43" s="14">
        <f>B16/B15</f>
        <v>0.16404266124936517</v>
      </c>
      <c r="C43" s="14">
        <f t="shared" ref="C43:F43" si="21">C16/C15</f>
        <v>0.21108966485348307</v>
      </c>
      <c r="D43" s="14">
        <f t="shared" si="21"/>
        <v>0.65673737896370754</v>
      </c>
      <c r="E43" s="14">
        <f t="shared" si="21"/>
        <v>0.29991024490319274</v>
      </c>
      <c r="F43" s="14">
        <f t="shared" si="21"/>
        <v>-3.9534883720930232E-2</v>
      </c>
      <c r="G43" s="19">
        <v>0.21</v>
      </c>
      <c r="H43" s="7" t="s">
        <v>402</v>
      </c>
    </row>
    <row r="44" spans="1:26" x14ac:dyDescent="0.3">
      <c r="A44" s="7" t="s">
        <v>84</v>
      </c>
      <c r="B44" s="14">
        <f>B18/B17</f>
        <v>-1.1046062078868883E-4</v>
      </c>
      <c r="C44" s="14">
        <f t="shared" ref="C44:F44" si="22">C18/C17</f>
        <v>-9.6381969157769874E-4</v>
      </c>
      <c r="D44" s="14">
        <f t="shared" si="22"/>
        <v>3.4453057708871662E-3</v>
      </c>
      <c r="E44" s="14">
        <f t="shared" si="22"/>
        <v>9.1575091575091575E-4</v>
      </c>
      <c r="F44" s="14">
        <f t="shared" si="22"/>
        <v>-4.1014168530947052E-3</v>
      </c>
      <c r="G44" s="20">
        <v>3.0000000000000001E-3</v>
      </c>
      <c r="H44" s="7" t="s">
        <v>252</v>
      </c>
    </row>
    <row r="45" spans="1:26" x14ac:dyDescent="0.3">
      <c r="A45" s="7" t="s">
        <v>111</v>
      </c>
      <c r="B45" s="14">
        <f>-B24/B23</f>
        <v>0.3550259403372244</v>
      </c>
      <c r="C45" s="14">
        <f t="shared" ref="C45:F45" si="23">-C24/C23</f>
        <v>0.345470128880706</v>
      </c>
      <c r="D45" s="14">
        <f t="shared" si="23"/>
        <v>4.512334299007989E-2</v>
      </c>
      <c r="E45" s="14">
        <f t="shared" si="23"/>
        <v>0.10042097519107369</v>
      </c>
      <c r="F45" s="14">
        <f t="shared" si="23"/>
        <v>7.3043834494059809E-2</v>
      </c>
      <c r="G45" s="19">
        <v>0.1</v>
      </c>
      <c r="H45" s="7" t="s">
        <v>249</v>
      </c>
    </row>
    <row r="46" spans="1:26" x14ac:dyDescent="0.3">
      <c r="A46" s="7" t="s">
        <v>112</v>
      </c>
      <c r="B46" s="14">
        <f>-B25/B19</f>
        <v>0.10437375745526839</v>
      </c>
      <c r="C46" s="14">
        <f t="shared" ref="C46:F46" si="24">-C25/C19</f>
        <v>0.1825790682171691</v>
      </c>
      <c r="D46" s="14">
        <f t="shared" si="24"/>
        <v>0.59248055315471049</v>
      </c>
      <c r="E46" s="14">
        <f t="shared" si="24"/>
        <v>0.54738771769019245</v>
      </c>
      <c r="F46" s="14">
        <f t="shared" si="24"/>
        <v>0.60137393241737835</v>
      </c>
      <c r="G46" s="19">
        <v>0.5</v>
      </c>
      <c r="H46" s="7" t="s">
        <v>403</v>
      </c>
    </row>
    <row r="47" spans="1:26" hidden="1" x14ac:dyDescent="0.3">
      <c r="A47" s="7" t="s">
        <v>113</v>
      </c>
    </row>
    <row r="48" spans="1:26" x14ac:dyDescent="0.3">
      <c r="A48" s="7" t="s">
        <v>173</v>
      </c>
      <c r="F48" s="14">
        <f>(1-(-F25-F24)/F22)</f>
        <v>6.7582621611585569E-2</v>
      </c>
      <c r="H48" s="7" t="s">
        <v>247</v>
      </c>
    </row>
  </sheetData>
  <mergeCells count="3">
    <mergeCell ref="Q1:Z1"/>
    <mergeCell ref="L30:Z34"/>
    <mergeCell ref="H36:U36"/>
  </mergeCells>
  <pageMargins left="0.7" right="0.7" top="0.75" bottom="0.75" header="0.3" footer="0.3"/>
  <pageSetup orientation="portrait" r:id="rId1"/>
  <ignoredErrors>
    <ignoredError sqref="G18:K18" formula="1"/>
    <ignoredError sqref="G38"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3880E-B351-4B40-8521-CD24E1026B84}">
  <sheetPr codeName="Sheet6"/>
  <dimension ref="A1:W67"/>
  <sheetViews>
    <sheetView showGridLines="0" zoomScale="90" zoomScaleNormal="90" workbookViewId="0">
      <pane xSplit="1" ySplit="2" topLeftCell="B3" activePane="bottomRight" state="frozen"/>
      <selection pane="topRight" activeCell="B1" sqref="B1"/>
      <selection pane="bottomLeft" activeCell="A6" sqref="A6"/>
      <selection pane="bottomRight" activeCell="H38" sqref="H38"/>
    </sheetView>
  </sheetViews>
  <sheetFormatPr defaultColWidth="9.140625" defaultRowHeight="16.5" x14ac:dyDescent="0.3"/>
  <cols>
    <col min="1" max="1" width="50.7109375" style="7" customWidth="1"/>
    <col min="2" max="2" width="12.7109375" style="7" customWidth="1"/>
    <col min="3" max="3" width="10.7109375" style="7" bestFit="1" customWidth="1"/>
    <col min="4" max="4" width="11.5703125" style="7" bestFit="1" customWidth="1"/>
    <col min="5" max="5" width="9.5703125" style="7" bestFit="1" customWidth="1"/>
    <col min="6" max="6" width="9.7109375" style="7" bestFit="1" customWidth="1"/>
    <col min="7" max="7" width="11.85546875" style="7" bestFit="1" customWidth="1"/>
    <col min="8" max="8" width="10.5703125" style="7" bestFit="1" customWidth="1"/>
    <col min="9" max="12" width="9.28515625" style="7" bestFit="1" customWidth="1"/>
    <col min="13" max="16384" width="9.140625" style="7"/>
  </cols>
  <sheetData>
    <row r="1" spans="1:23" ht="15" customHeight="1" x14ac:dyDescent="0.3">
      <c r="A1" s="27" t="s">
        <v>98</v>
      </c>
      <c r="B1" s="23"/>
      <c r="C1" s="23" t="s">
        <v>96</v>
      </c>
      <c r="D1" s="52"/>
      <c r="E1" s="52"/>
      <c r="F1" s="52"/>
      <c r="G1" s="52"/>
      <c r="H1" s="53" t="s">
        <v>97</v>
      </c>
      <c r="I1" s="53"/>
      <c r="J1" s="53"/>
      <c r="K1" s="53"/>
      <c r="L1" s="53"/>
      <c r="M1" s="11"/>
    </row>
    <row r="2" spans="1:23" s="43" customFormat="1" ht="15.75" customHeight="1" x14ac:dyDescent="0.3">
      <c r="A2" s="22" t="s">
        <v>117</v>
      </c>
      <c r="B2" s="26">
        <v>2014</v>
      </c>
      <c r="C2" s="26">
        <v>2015</v>
      </c>
      <c r="D2" s="26">
        <v>2016</v>
      </c>
      <c r="E2" s="26">
        <v>2017</v>
      </c>
      <c r="F2" s="26">
        <v>2018</v>
      </c>
      <c r="G2" s="26">
        <v>2019</v>
      </c>
      <c r="H2" s="28">
        <v>2020</v>
      </c>
      <c r="I2" s="28">
        <v>2021</v>
      </c>
      <c r="J2" s="28">
        <v>2022</v>
      </c>
      <c r="K2" s="28">
        <v>2023</v>
      </c>
      <c r="L2" s="28">
        <v>2024</v>
      </c>
      <c r="W2" s="43" t="s">
        <v>76</v>
      </c>
    </row>
    <row r="3" spans="1:23" s="43" customFormat="1" ht="15.75" customHeight="1" x14ac:dyDescent="0.3">
      <c r="A3" s="55" t="s">
        <v>99</v>
      </c>
      <c r="B3" s="56" t="str">
        <f>IF(B19-B39&gt;0,"ERROR","OK")</f>
        <v>OK</v>
      </c>
      <c r="C3" s="56" t="str">
        <f>IF(C19-C39&gt;0,"ERROR","OK")</f>
        <v>OK</v>
      </c>
      <c r="D3" s="56" t="str">
        <f t="shared" ref="D3:L3" si="0">IF(D19-D39&gt;0,"ERROR","OK")</f>
        <v>OK</v>
      </c>
      <c r="E3" s="56" t="str">
        <f t="shared" si="0"/>
        <v>OK</v>
      </c>
      <c r="F3" s="56" t="str">
        <f t="shared" si="0"/>
        <v>OK</v>
      </c>
      <c r="G3" s="56" t="str">
        <f t="shared" si="0"/>
        <v>OK</v>
      </c>
      <c r="H3" s="56" t="str">
        <f>IF(H19-H39=0,"OK","Error")</f>
        <v>OK</v>
      </c>
      <c r="I3" s="56" t="str">
        <f t="shared" ref="I3:L3" si="1">IF(I19-I39=0,"OK","Error")</f>
        <v>OK</v>
      </c>
      <c r="J3" s="56" t="str">
        <f t="shared" si="1"/>
        <v>OK</v>
      </c>
      <c r="K3" s="56" t="str">
        <f t="shared" si="1"/>
        <v>OK</v>
      </c>
      <c r="L3" s="56" t="str">
        <f t="shared" si="1"/>
        <v>OK</v>
      </c>
    </row>
    <row r="4" spans="1:23" ht="15.75" customHeight="1" x14ac:dyDescent="0.3">
      <c r="A4" s="8" t="s">
        <v>21</v>
      </c>
      <c r="B4" s="8"/>
    </row>
    <row r="5" spans="1:23" ht="15.75" customHeight="1" x14ac:dyDescent="0.3">
      <c r="A5" s="8" t="s">
        <v>22</v>
      </c>
      <c r="B5" s="8"/>
    </row>
    <row r="6" spans="1:23" ht="15.75" customHeight="1" x14ac:dyDescent="0.3">
      <c r="A6" s="12" t="s">
        <v>23</v>
      </c>
      <c r="B6" s="206">
        <v>10027</v>
      </c>
      <c r="C6" s="44">
        <v>12851</v>
      </c>
      <c r="D6" s="44">
        <v>8229</v>
      </c>
      <c r="E6" s="44">
        <v>7588</v>
      </c>
      <c r="F6" s="44">
        <v>17940</v>
      </c>
      <c r="G6" s="44">
        <v>11631</v>
      </c>
      <c r="H6" s="61">
        <f>'Cash Flow'!G26</f>
        <v>15016.519620422408</v>
      </c>
      <c r="I6" s="61">
        <f>'Cash Flow'!H26</f>
        <v>15848.062604707911</v>
      </c>
      <c r="J6" s="61">
        <f>'Cash Flow'!I26</f>
        <v>20572.570027935428</v>
      </c>
      <c r="K6" s="61">
        <f>'Cash Flow'!J26</f>
        <v>29829.682966027474</v>
      </c>
      <c r="L6" s="61">
        <f>'Cash Flow'!K26</f>
        <v>36321.433751760196</v>
      </c>
    </row>
    <row r="7" spans="1:23" ht="15.75" customHeight="1" x14ac:dyDescent="0.3">
      <c r="A7" s="12" t="s">
        <v>24</v>
      </c>
      <c r="B7" s="206">
        <v>101</v>
      </c>
      <c r="C7" s="44">
        <v>1756</v>
      </c>
      <c r="D7" s="44">
        <v>3666</v>
      </c>
      <c r="E7" s="44">
        <v>17922</v>
      </c>
      <c r="F7" s="44">
        <v>12149</v>
      </c>
      <c r="G7" s="44">
        <v>12721</v>
      </c>
      <c r="H7" s="61">
        <f>H11*$H$45</f>
        <v>12795.93</v>
      </c>
      <c r="I7" s="61">
        <f>I11*$H$45</f>
        <v>14715.319499999998</v>
      </c>
      <c r="J7" s="61">
        <f>J11*$H$45</f>
        <v>21337.213274999998</v>
      </c>
      <c r="K7" s="61">
        <f>K11*$H$45</f>
        <v>30938.959248749994</v>
      </c>
      <c r="L7" s="61">
        <f>L11*$H$45</f>
        <v>34032.855173624994</v>
      </c>
    </row>
    <row r="8" spans="1:23" ht="15.75" customHeight="1" x14ac:dyDescent="0.3">
      <c r="A8" s="12" t="s">
        <v>25</v>
      </c>
      <c r="B8" s="206">
        <v>4635</v>
      </c>
      <c r="C8" s="44">
        <v>5854</v>
      </c>
      <c r="D8" s="44">
        <v>4514</v>
      </c>
      <c r="E8" s="44">
        <v>3851</v>
      </c>
      <c r="F8" s="44">
        <v>3327</v>
      </c>
      <c r="G8" s="44">
        <v>3582</v>
      </c>
      <c r="H8" s="61">
        <f>$H$46*'Income Statement'!G6</f>
        <v>3614.2890000000002</v>
      </c>
      <c r="I8" s="61">
        <f>$H$46*'Income Statement'!H6</f>
        <v>5240.7190499999997</v>
      </c>
      <c r="J8" s="61">
        <f>$H$46*'Income Statement'!I6</f>
        <v>7599.0426224999992</v>
      </c>
      <c r="K8" s="61">
        <f>$H$46*'Income Statement'!J6</f>
        <v>8358.9468847499993</v>
      </c>
      <c r="L8" s="61">
        <f>$H$46*'Income Statement'!K6</f>
        <v>9194.8415732250014</v>
      </c>
    </row>
    <row r="9" spans="1:23" ht="15.75" customHeight="1" x14ac:dyDescent="0.3">
      <c r="A9" s="12" t="s">
        <v>26</v>
      </c>
      <c r="B9" s="206">
        <v>1386</v>
      </c>
      <c r="C9" s="44">
        <v>1955</v>
      </c>
      <c r="D9" s="44">
        <v>1587</v>
      </c>
      <c r="E9" s="44">
        <v>801</v>
      </c>
      <c r="F9" s="44">
        <v>814</v>
      </c>
      <c r="G9" s="44">
        <v>922</v>
      </c>
      <c r="H9" s="61">
        <f>H11-H6-H7-H10-H8</f>
        <v>226.35137957759116</v>
      </c>
      <c r="I9" s="61">
        <f t="shared" ref="I9:L9" si="2">I11-I6-I7-I10-I8</f>
        <v>596.95234529208392</v>
      </c>
      <c r="J9" s="61">
        <f t="shared" si="2"/>
        <v>3272.7016495645748</v>
      </c>
      <c r="K9" s="61">
        <f t="shared" si="2"/>
        <v>7405.6258842225161</v>
      </c>
      <c r="L9" s="61">
        <f t="shared" si="2"/>
        <v>4637.4059835147909</v>
      </c>
    </row>
    <row r="10" spans="1:23" ht="15.75" customHeight="1" x14ac:dyDescent="0.3">
      <c r="A10" s="12" t="s">
        <v>27</v>
      </c>
      <c r="B10" s="206">
        <v>1565</v>
      </c>
      <c r="C10" s="45">
        <v>1518</v>
      </c>
      <c r="D10" s="45">
        <v>1592</v>
      </c>
      <c r="E10" s="45">
        <v>1661</v>
      </c>
      <c r="F10" s="45">
        <v>1606</v>
      </c>
      <c r="G10" s="45">
        <v>1440</v>
      </c>
      <c r="H10" s="62">
        <f>$H$48*H11</f>
        <v>2020.4099999999999</v>
      </c>
      <c r="I10" s="62">
        <f>$H$48*I11</f>
        <v>2323.4714999999997</v>
      </c>
      <c r="J10" s="62">
        <f>$H$48*J11</f>
        <v>3369.0336749999997</v>
      </c>
      <c r="K10" s="62">
        <f>$H$48*K11</f>
        <v>4885.0988287499986</v>
      </c>
      <c r="L10" s="62">
        <f>$H$48*L11</f>
        <v>5373.6087116249983</v>
      </c>
    </row>
    <row r="11" spans="1:23" ht="15.75" customHeight="1" x14ac:dyDescent="0.3">
      <c r="A11" s="7" t="s">
        <v>28</v>
      </c>
      <c r="B11" s="50">
        <f>SUM(B6:B10)</f>
        <v>17714</v>
      </c>
      <c r="C11" s="44">
        <f>SUM(C6:C10)</f>
        <v>23934</v>
      </c>
      <c r="D11" s="44">
        <f>SUM(D6:D10)</f>
        <v>19588</v>
      </c>
      <c r="E11" s="44">
        <f>SUM(E6:E10)</f>
        <v>31823</v>
      </c>
      <c r="F11" s="44">
        <f t="shared" ref="F11:G11" si="3">SUM(F6:F10)</f>
        <v>35836</v>
      </c>
      <c r="G11" s="44">
        <f t="shared" si="3"/>
        <v>30296</v>
      </c>
      <c r="H11" s="61">
        <f>H19*$H$43</f>
        <v>33673.5</v>
      </c>
      <c r="I11" s="61">
        <f>I19*$H$43</f>
        <v>38724.524999999994</v>
      </c>
      <c r="J11" s="61">
        <f>J19*$H$43</f>
        <v>56150.561249999999</v>
      </c>
      <c r="K11" s="61">
        <f>K19*$H$43</f>
        <v>81418.313812499982</v>
      </c>
      <c r="L11" s="61">
        <f>L19*$H$43</f>
        <v>89560.145193749981</v>
      </c>
    </row>
    <row r="12" spans="1:23" ht="15.75" customHeight="1" x14ac:dyDescent="0.3">
      <c r="A12" s="46" t="s">
        <v>2</v>
      </c>
      <c r="B12" s="207"/>
      <c r="C12" s="44"/>
      <c r="D12" s="44"/>
      <c r="E12" s="44"/>
      <c r="F12" s="44"/>
      <c r="G12" s="44"/>
      <c r="H12" s="61"/>
      <c r="I12" s="61"/>
      <c r="J12" s="61"/>
      <c r="K12" s="61"/>
      <c r="L12" s="61"/>
    </row>
    <row r="13" spans="1:23" ht="15.75" customHeight="1" x14ac:dyDescent="0.3">
      <c r="A13" s="12" t="s">
        <v>29</v>
      </c>
      <c r="B13" s="206">
        <v>1674</v>
      </c>
      <c r="C13" s="44">
        <v>2276</v>
      </c>
      <c r="D13" s="44">
        <v>2865</v>
      </c>
      <c r="E13" s="44">
        <v>3295</v>
      </c>
      <c r="F13" s="44">
        <v>4006</v>
      </c>
      <c r="G13" s="44">
        <v>4502</v>
      </c>
      <c r="H13" s="61">
        <f>($H$49)*'Income Statement'!G6</f>
        <v>5163.2700000000004</v>
      </c>
      <c r="I13" s="61">
        <f>($H$49)*'Income Statement'!H6</f>
        <v>7486.7415000000001</v>
      </c>
      <c r="J13" s="61">
        <f>($H$49)*'Income Statement'!I6</f>
        <v>10855.775174999999</v>
      </c>
      <c r="K13" s="61">
        <f>($H$49)*'Income Statement'!J6</f>
        <v>11941.352692499999</v>
      </c>
      <c r="L13" s="61">
        <f>($H$49)*'Income Statement'!K6</f>
        <v>13135.487961750001</v>
      </c>
    </row>
    <row r="14" spans="1:23" ht="15.75" customHeight="1" x14ac:dyDescent="0.3">
      <c r="A14" s="12" t="s">
        <v>30</v>
      </c>
      <c r="B14" s="206">
        <v>466</v>
      </c>
      <c r="C14" s="44">
        <v>12001</v>
      </c>
      <c r="D14" s="44">
        <v>20908</v>
      </c>
      <c r="E14" s="44">
        <v>11184</v>
      </c>
      <c r="F14" s="44">
        <v>1423</v>
      </c>
      <c r="G14" s="44">
        <v>1488</v>
      </c>
      <c r="H14" s="61">
        <f>H19*$H$50</f>
        <v>1683.6750000000002</v>
      </c>
      <c r="I14" s="61">
        <f t="shared" ref="I14:L14" si="4">I19*$H$50</f>
        <v>1936.2262499999997</v>
      </c>
      <c r="J14" s="61">
        <f t="shared" si="4"/>
        <v>2807.5280625</v>
      </c>
      <c r="K14" s="61">
        <f t="shared" si="4"/>
        <v>4070.9156906249991</v>
      </c>
      <c r="L14" s="61">
        <f t="shared" si="4"/>
        <v>4478.0072596874988</v>
      </c>
    </row>
    <row r="15" spans="1:23" ht="15.75" customHeight="1" x14ac:dyDescent="0.3">
      <c r="A15" s="12" t="s">
        <v>31</v>
      </c>
      <c r="B15" s="206">
        <v>11073</v>
      </c>
      <c r="C15" s="44">
        <v>10247</v>
      </c>
      <c r="D15" s="44">
        <v>8970</v>
      </c>
      <c r="E15" s="44">
        <v>17100</v>
      </c>
      <c r="F15" s="44">
        <v>15738</v>
      </c>
      <c r="G15" s="44">
        <v>13786</v>
      </c>
      <c r="H15" s="61">
        <f>H19*$H$51</f>
        <v>14412.258</v>
      </c>
      <c r="I15" s="61">
        <f t="shared" ref="I15:L15" si="5">I19*$H$51</f>
        <v>16574.096699999998</v>
      </c>
      <c r="J15" s="61">
        <f t="shared" si="5"/>
        <v>24032.440214999999</v>
      </c>
      <c r="K15" s="61">
        <f t="shared" si="5"/>
        <v>34847.038311749995</v>
      </c>
      <c r="L15" s="61">
        <f t="shared" si="5"/>
        <v>38331.742142924988</v>
      </c>
    </row>
    <row r="16" spans="1:23" ht="15.75" customHeight="1" x14ac:dyDescent="0.3">
      <c r="A16" s="12" t="s">
        <v>32</v>
      </c>
      <c r="B16" s="206">
        <v>1172</v>
      </c>
      <c r="C16" s="44">
        <v>1172</v>
      </c>
      <c r="D16" s="44">
        <v>1172</v>
      </c>
      <c r="E16" s="44">
        <v>4159</v>
      </c>
      <c r="F16" s="44">
        <v>4117</v>
      </c>
      <c r="G16" s="44">
        <v>4117</v>
      </c>
      <c r="H16" s="61">
        <f>H18-H17-H13-H14-H15</f>
        <v>9046.9470000000019</v>
      </c>
      <c r="I16" s="61">
        <f t="shared" ref="I16:L16" si="6">I18-I17-I13-I14-I15</f>
        <v>8855.0080499999967</v>
      </c>
      <c r="J16" s="61">
        <f t="shared" si="6"/>
        <v>12839.761672499993</v>
      </c>
      <c r="K16" s="61">
        <f t="shared" si="6"/>
        <v>22417.175736374993</v>
      </c>
      <c r="L16" s="61">
        <f t="shared" si="6"/>
        <v>24658.893310012507</v>
      </c>
    </row>
    <row r="17" spans="1:12" ht="15.75" customHeight="1" x14ac:dyDescent="0.3">
      <c r="A17" s="12" t="s">
        <v>33</v>
      </c>
      <c r="B17" s="206">
        <v>2565</v>
      </c>
      <c r="C17" s="44">
        <v>2086</v>
      </c>
      <c r="D17" s="44">
        <v>3473</v>
      </c>
      <c r="E17" s="44">
        <v>2722</v>
      </c>
      <c r="F17" s="44">
        <v>2555</v>
      </c>
      <c r="G17" s="44">
        <v>7438</v>
      </c>
      <c r="H17" s="61">
        <f>H19*$H$52</f>
        <v>3367.3500000000004</v>
      </c>
      <c r="I17" s="61">
        <f t="shared" ref="I17:L17" si="7">I19*$H$52</f>
        <v>3872.4524999999994</v>
      </c>
      <c r="J17" s="61">
        <f t="shared" si="7"/>
        <v>5615.0561250000001</v>
      </c>
      <c r="K17" s="61">
        <f t="shared" si="7"/>
        <v>8141.8313812499982</v>
      </c>
      <c r="L17" s="61">
        <f t="shared" si="7"/>
        <v>8956.0145193749977</v>
      </c>
    </row>
    <row r="18" spans="1:12" ht="15.75" customHeight="1" x14ac:dyDescent="0.3">
      <c r="A18" s="47" t="s">
        <v>34</v>
      </c>
      <c r="B18" s="48">
        <f>SUM(B13:B17)</f>
        <v>16950</v>
      </c>
      <c r="C18" s="48">
        <f>SUM(C13:C17)</f>
        <v>27782</v>
      </c>
      <c r="D18" s="48">
        <f>SUM(D13:D17)</f>
        <v>37388</v>
      </c>
      <c r="E18" s="48">
        <f>SUM(E13:E17)</f>
        <v>38460</v>
      </c>
      <c r="F18" s="48">
        <f>SUM(F13:F17)</f>
        <v>27839</v>
      </c>
      <c r="G18" s="48">
        <f t="shared" ref="G18" si="8">SUM(G13:G17)</f>
        <v>31331</v>
      </c>
      <c r="H18" s="63">
        <f>H19*$H$44</f>
        <v>33673.5</v>
      </c>
      <c r="I18" s="63">
        <f>I19*$H$44</f>
        <v>38724.524999999994</v>
      </c>
      <c r="J18" s="63">
        <f>J19*$H$44</f>
        <v>56150.561249999999</v>
      </c>
      <c r="K18" s="63">
        <f>K19*$H$44</f>
        <v>81418.313812499982</v>
      </c>
      <c r="L18" s="63">
        <f>L19*$H$44</f>
        <v>89560.145193749981</v>
      </c>
    </row>
    <row r="19" spans="1:12" ht="15.75" customHeight="1" thickBot="1" x14ac:dyDescent="0.35">
      <c r="A19" s="46" t="s">
        <v>3</v>
      </c>
      <c r="B19" s="49">
        <f>B11+B18</f>
        <v>34664</v>
      </c>
      <c r="C19" s="49">
        <f>C11+C18</f>
        <v>51716</v>
      </c>
      <c r="D19" s="49">
        <f>D11+D18</f>
        <v>56976</v>
      </c>
      <c r="E19" s="49">
        <f>E11+E18</f>
        <v>70283</v>
      </c>
      <c r="F19" s="49">
        <f t="shared" ref="F19:G19" si="9">F11+F18</f>
        <v>63675</v>
      </c>
      <c r="G19" s="49">
        <f t="shared" si="9"/>
        <v>61627</v>
      </c>
      <c r="H19" s="64">
        <f>$H$42*'Income Statement'!F6</f>
        <v>67347</v>
      </c>
      <c r="I19" s="64">
        <f>$H$42*'Income Statement'!G6</f>
        <v>77449.049999999988</v>
      </c>
      <c r="J19" s="64">
        <f>$H$42*'Income Statement'!H6</f>
        <v>112301.1225</v>
      </c>
      <c r="K19" s="64">
        <f>$H$42*'Income Statement'!I6</f>
        <v>162836.62762499996</v>
      </c>
      <c r="L19" s="64">
        <f>$H$42*'Income Statement'!J6</f>
        <v>179120.29038749996</v>
      </c>
    </row>
    <row r="20" spans="1:12" ht="15.75" customHeight="1" thickTop="1" x14ac:dyDescent="0.3">
      <c r="A20" s="46" t="s">
        <v>408</v>
      </c>
      <c r="B20" s="207"/>
      <c r="C20" s="44"/>
      <c r="D20" s="44"/>
      <c r="E20" s="44"/>
      <c r="F20" s="44"/>
      <c r="G20" s="44"/>
      <c r="H20" s="61"/>
      <c r="I20" s="61"/>
      <c r="J20" s="61"/>
      <c r="K20" s="61"/>
      <c r="L20" s="61"/>
    </row>
    <row r="21" spans="1:12" ht="15.75" customHeight="1" x14ac:dyDescent="0.3">
      <c r="A21" s="47" t="s">
        <v>35</v>
      </c>
      <c r="B21" s="208"/>
      <c r="C21" s="44"/>
      <c r="D21" s="44"/>
      <c r="E21" s="44"/>
      <c r="F21" s="44"/>
      <c r="G21" s="44"/>
      <c r="H21" s="61"/>
      <c r="I21" s="61"/>
      <c r="J21" s="61"/>
      <c r="K21" s="61"/>
      <c r="L21" s="61"/>
    </row>
    <row r="22" spans="1:12" ht="15.75" customHeight="1" x14ac:dyDescent="0.3">
      <c r="A22" s="12" t="s">
        <v>409</v>
      </c>
      <c r="B22" s="206">
        <v>955</v>
      </c>
      <c r="C22" s="44">
        <v>1178</v>
      </c>
      <c r="D22" s="44">
        <v>1206</v>
      </c>
      <c r="E22" s="44">
        <v>814</v>
      </c>
      <c r="F22" s="44">
        <v>790</v>
      </c>
      <c r="G22" s="44">
        <v>713</v>
      </c>
      <c r="H22" s="61">
        <f>H31*$H$56</f>
        <v>875.51100000000008</v>
      </c>
      <c r="I22" s="61">
        <f t="shared" ref="I22:L22" si="10">I31*$H$56</f>
        <v>1006.8376499999998</v>
      </c>
      <c r="J22" s="61">
        <f t="shared" si="10"/>
        <v>1459.9145925000003</v>
      </c>
      <c r="K22" s="61">
        <f t="shared" si="10"/>
        <v>2116.8761591249995</v>
      </c>
      <c r="L22" s="61">
        <f t="shared" si="10"/>
        <v>2328.5637750374995</v>
      </c>
    </row>
    <row r="23" spans="1:12" ht="15.75" customHeight="1" x14ac:dyDescent="0.3">
      <c r="A23" s="12" t="s">
        <v>36</v>
      </c>
      <c r="B23" s="206">
        <v>2316</v>
      </c>
      <c r="C23" s="44">
        <v>4118</v>
      </c>
      <c r="D23" s="44">
        <v>5021</v>
      </c>
      <c r="E23" s="44">
        <v>4704</v>
      </c>
      <c r="F23" s="44">
        <v>3928</v>
      </c>
      <c r="G23" s="44">
        <v>3473</v>
      </c>
      <c r="H23" s="61">
        <f>H31*$H$57</f>
        <v>3939.7995000000001</v>
      </c>
      <c r="I23" s="61">
        <f t="shared" ref="I23:L23" si="11">I31*$H$57</f>
        <v>4530.7694249999995</v>
      </c>
      <c r="J23" s="61">
        <f t="shared" si="11"/>
        <v>6569.6156662500007</v>
      </c>
      <c r="K23" s="61">
        <f t="shared" si="11"/>
        <v>9525.9427160624982</v>
      </c>
      <c r="L23" s="61">
        <f t="shared" si="11"/>
        <v>10478.536987668747</v>
      </c>
    </row>
    <row r="24" spans="1:12" ht="15.75" customHeight="1" x14ac:dyDescent="0.3">
      <c r="A24" s="12" t="s">
        <v>37</v>
      </c>
      <c r="B24" s="206">
        <v>2007</v>
      </c>
      <c r="C24" s="44">
        <v>3612</v>
      </c>
      <c r="D24" s="44">
        <v>2991</v>
      </c>
      <c r="E24" s="44">
        <v>3370</v>
      </c>
      <c r="F24" s="44">
        <v>3139</v>
      </c>
      <c r="G24" s="44">
        <v>3074</v>
      </c>
      <c r="H24" s="61">
        <f>H31*$H$58</f>
        <v>3502.0440000000003</v>
      </c>
      <c r="I24" s="61">
        <f t="shared" ref="I24:L24" si="12">I31*$H$58</f>
        <v>4027.3505999999993</v>
      </c>
      <c r="J24" s="61">
        <f t="shared" si="12"/>
        <v>5839.658370000001</v>
      </c>
      <c r="K24" s="61">
        <f t="shared" si="12"/>
        <v>8467.504636499998</v>
      </c>
      <c r="L24" s="61">
        <f t="shared" si="12"/>
        <v>9314.2551001499978</v>
      </c>
    </row>
    <row r="25" spans="1:12" ht="15.75" customHeight="1" x14ac:dyDescent="0.3">
      <c r="A25" s="12" t="s">
        <v>38</v>
      </c>
      <c r="B25" s="206">
        <v>483</v>
      </c>
      <c r="C25" s="44">
        <v>982</v>
      </c>
      <c r="D25" s="44">
        <v>0</v>
      </c>
      <c r="E25" s="44">
        <v>2747</v>
      </c>
      <c r="F25" s="44">
        <v>2748</v>
      </c>
      <c r="G25" s="44">
        <v>2499</v>
      </c>
      <c r="H25" s="61">
        <f>H19*$H$59</f>
        <v>2626.5329999999999</v>
      </c>
      <c r="I25" s="61">
        <f t="shared" ref="I25:L25" si="13">I19*$H$59</f>
        <v>3020.5129499999994</v>
      </c>
      <c r="J25" s="61">
        <f t="shared" si="13"/>
        <v>4379.7437774999999</v>
      </c>
      <c r="K25" s="61">
        <f t="shared" si="13"/>
        <v>6350.6284773749985</v>
      </c>
      <c r="L25" s="61">
        <f t="shared" si="13"/>
        <v>6985.6913251124988</v>
      </c>
    </row>
    <row r="26" spans="1:12" ht="15.75" customHeight="1" x14ac:dyDescent="0.3">
      <c r="A26" s="8" t="s">
        <v>39</v>
      </c>
      <c r="B26" s="50">
        <f>SUM(B22:B25)</f>
        <v>5761</v>
      </c>
      <c r="C26" s="50">
        <f>SUM(C22:C25)</f>
        <v>9890</v>
      </c>
      <c r="D26" s="50">
        <f>SUM(D22:D25)</f>
        <v>9218</v>
      </c>
      <c r="E26" s="50">
        <f>SUM(E22:E25)</f>
        <v>11635</v>
      </c>
      <c r="F26" s="50">
        <f t="shared" ref="F26:G26" si="14">SUM(F22:F25)</f>
        <v>10605</v>
      </c>
      <c r="G26" s="50">
        <f t="shared" si="14"/>
        <v>9759</v>
      </c>
      <c r="H26" s="65">
        <f>H31*$H$54</f>
        <v>10943.887500000001</v>
      </c>
      <c r="I26" s="65">
        <f t="shared" ref="I26:L26" si="15">I31*$H$54</f>
        <v>12585.470624999998</v>
      </c>
      <c r="J26" s="65">
        <f t="shared" si="15"/>
        <v>18248.932406250002</v>
      </c>
      <c r="K26" s="65">
        <f t="shared" si="15"/>
        <v>26460.951989062494</v>
      </c>
      <c r="L26" s="65">
        <f t="shared" si="15"/>
        <v>29107.047187968743</v>
      </c>
    </row>
    <row r="27" spans="1:12" ht="15.75" customHeight="1" x14ac:dyDescent="0.3">
      <c r="A27" s="12" t="s">
        <v>40</v>
      </c>
      <c r="B27" s="317">
        <v>11921</v>
      </c>
      <c r="C27" s="314">
        <v>21073</v>
      </c>
      <c r="D27" s="314">
        <v>26346</v>
      </c>
      <c r="E27" s="314">
        <v>30795</v>
      </c>
      <c r="F27" s="314">
        <v>24574</v>
      </c>
      <c r="G27" s="314">
        <v>22094</v>
      </c>
      <c r="H27" s="311">
        <f>$H$60*H19</f>
        <v>26938.800000000003</v>
      </c>
      <c r="I27" s="311">
        <f t="shared" ref="I27:L27" si="16">$H$60*I19</f>
        <v>30979.619999999995</v>
      </c>
      <c r="J27" s="311">
        <f t="shared" si="16"/>
        <v>44920.449000000001</v>
      </c>
      <c r="K27" s="311">
        <f t="shared" si="16"/>
        <v>65134.651049999986</v>
      </c>
      <c r="L27" s="311">
        <f t="shared" si="16"/>
        <v>71648.116154999982</v>
      </c>
    </row>
    <row r="28" spans="1:12" ht="15.75" customHeight="1" x14ac:dyDescent="0.3">
      <c r="A28" s="12" t="s">
        <v>410</v>
      </c>
      <c r="B28" s="318">
        <v>562</v>
      </c>
      <c r="C28" s="315">
        <v>1243</v>
      </c>
      <c r="D28" s="315">
        <v>1753</v>
      </c>
      <c r="E28" s="315">
        <v>6794</v>
      </c>
      <c r="F28" s="315">
        <v>5922</v>
      </c>
      <c r="G28" s="315">
        <v>6115</v>
      </c>
      <c r="H28" s="312">
        <f>H31*$H$61</f>
        <v>6566.3325000000004</v>
      </c>
      <c r="I28" s="312">
        <f t="shared" ref="I28:L28" si="17">I31*$H$61</f>
        <v>7551.2823749999989</v>
      </c>
      <c r="J28" s="312">
        <f t="shared" si="17"/>
        <v>10949.359443750001</v>
      </c>
      <c r="K28" s="312">
        <f t="shared" si="17"/>
        <v>15876.571193437496</v>
      </c>
      <c r="L28" s="312">
        <f t="shared" si="17"/>
        <v>17464.228312781244</v>
      </c>
    </row>
    <row r="29" spans="1:12" ht="15.75" customHeight="1" x14ac:dyDescent="0.3">
      <c r="A29" s="12" t="s">
        <v>41</v>
      </c>
      <c r="B29" s="319">
        <v>601</v>
      </c>
      <c r="C29" s="316">
        <v>395</v>
      </c>
      <c r="D29" s="316">
        <v>296</v>
      </c>
      <c r="E29" s="316">
        <v>558</v>
      </c>
      <c r="F29" s="316">
        <v>1040</v>
      </c>
      <c r="G29" s="316">
        <v>1009</v>
      </c>
      <c r="H29" s="313">
        <f>H30-H27-H28</f>
        <v>-673.46999999999753</v>
      </c>
      <c r="I29" s="313">
        <f t="shared" ref="I29:L29" si="18">I30-I27-I28</f>
        <v>-774.49050000000352</v>
      </c>
      <c r="J29" s="313">
        <f t="shared" si="18"/>
        <v>-1123.0112249999966</v>
      </c>
      <c r="K29" s="313">
        <f t="shared" si="18"/>
        <v>-1628.3662762499989</v>
      </c>
      <c r="L29" s="313">
        <f t="shared" si="18"/>
        <v>-1791.2029038749934</v>
      </c>
    </row>
    <row r="30" spans="1:12" ht="15.75" customHeight="1" x14ac:dyDescent="0.3">
      <c r="A30" s="47" t="s">
        <v>42</v>
      </c>
      <c r="B30" s="94">
        <f>SUM(B27:B29)</f>
        <v>13084</v>
      </c>
      <c r="C30" s="94">
        <f>SUM(C27:C29)</f>
        <v>22711</v>
      </c>
      <c r="D30" s="94">
        <f t="shared" ref="D30:G30" si="19">SUM(D27:D29)</f>
        <v>28395</v>
      </c>
      <c r="E30" s="94">
        <f t="shared" si="19"/>
        <v>38147</v>
      </c>
      <c r="F30" s="94">
        <f t="shared" si="19"/>
        <v>31536</v>
      </c>
      <c r="G30" s="94">
        <f t="shared" si="19"/>
        <v>29218</v>
      </c>
      <c r="H30" s="310">
        <f>H31*$H$55</f>
        <v>32831.662500000006</v>
      </c>
      <c r="I30" s="310">
        <f t="shared" ref="I30:L30" si="20">I31*$H$55</f>
        <v>37756.411874999991</v>
      </c>
      <c r="J30" s="310">
        <f t="shared" si="20"/>
        <v>54746.797218750005</v>
      </c>
      <c r="K30" s="310">
        <f t="shared" si="20"/>
        <v>79382.855967187483</v>
      </c>
      <c r="L30" s="310">
        <f t="shared" si="20"/>
        <v>87321.141563906232</v>
      </c>
    </row>
    <row r="31" spans="1:12" ht="15.75" customHeight="1" x14ac:dyDescent="0.3">
      <c r="A31" s="47" t="s">
        <v>103</v>
      </c>
      <c r="B31" s="48">
        <f>B30+B26</f>
        <v>18845</v>
      </c>
      <c r="C31" s="48">
        <f>C30+C26</f>
        <v>32601</v>
      </c>
      <c r="D31" s="48">
        <f t="shared" ref="D31:G31" si="21">D30+D26</f>
        <v>37613</v>
      </c>
      <c r="E31" s="48">
        <f t="shared" si="21"/>
        <v>49782</v>
      </c>
      <c r="F31" s="48">
        <f t="shared" si="21"/>
        <v>42141</v>
      </c>
      <c r="G31" s="48">
        <f t="shared" si="21"/>
        <v>38977</v>
      </c>
      <c r="H31" s="63">
        <f>$H$53*H19</f>
        <v>43775.55</v>
      </c>
      <c r="I31" s="63">
        <f t="shared" ref="I31:L31" si="22">$H$53*I19</f>
        <v>50341.882499999992</v>
      </c>
      <c r="J31" s="63">
        <f t="shared" si="22"/>
        <v>72995.729625000007</v>
      </c>
      <c r="K31" s="63">
        <f t="shared" si="22"/>
        <v>105843.80795624998</v>
      </c>
      <c r="L31" s="63">
        <f t="shared" si="22"/>
        <v>116428.18875187497</v>
      </c>
    </row>
    <row r="32" spans="1:12" ht="15.75" customHeight="1" x14ac:dyDescent="0.3">
      <c r="A32" s="46" t="s">
        <v>43</v>
      </c>
      <c r="B32" s="207"/>
      <c r="C32" s="44"/>
      <c r="D32" s="44"/>
      <c r="E32" s="44"/>
      <c r="F32" s="44"/>
      <c r="G32" s="44"/>
      <c r="H32" s="61"/>
      <c r="I32" s="61"/>
      <c r="J32" s="61"/>
      <c r="K32" s="61"/>
      <c r="L32" s="61"/>
    </row>
    <row r="33" spans="1:12" ht="15.75" customHeight="1" x14ac:dyDescent="0.3">
      <c r="A33" s="12" t="s">
        <v>44</v>
      </c>
      <c r="B33" s="206">
        <v>2393</v>
      </c>
      <c r="C33" s="44">
        <v>447</v>
      </c>
      <c r="D33" s="44">
        <v>455</v>
      </c>
      <c r="E33" s="44">
        <v>1265</v>
      </c>
      <c r="F33" s="44">
        <v>2283</v>
      </c>
      <c r="G33" s="44">
        <v>3052</v>
      </c>
      <c r="H33" s="61">
        <f>(1+$H$64)*G33</f>
        <v>3906.56</v>
      </c>
      <c r="I33" s="61">
        <f t="shared" ref="I33:L33" si="23">(1+$H$64)*H33</f>
        <v>5000.3968000000004</v>
      </c>
      <c r="J33" s="61">
        <f t="shared" si="23"/>
        <v>6400.507904000001</v>
      </c>
      <c r="K33" s="61">
        <f t="shared" si="23"/>
        <v>8192.6501171200016</v>
      </c>
      <c r="L33" s="61">
        <f t="shared" si="23"/>
        <v>10486.592149913602</v>
      </c>
    </row>
    <row r="34" spans="1:12" ht="15.75" customHeight="1" x14ac:dyDescent="0.3">
      <c r="A34" s="12" t="s">
        <v>46</v>
      </c>
      <c r="B34" s="206">
        <v>12732</v>
      </c>
      <c r="C34" s="44">
        <f>'Income Statement'!B26</f>
        <v>18001</v>
      </c>
      <c r="D34" s="44">
        <f>'Income Statement'!C26</f>
        <v>18154</v>
      </c>
      <c r="E34" s="44">
        <f>'Income Statement'!D26</f>
        <v>19012</v>
      </c>
      <c r="F34" s="44">
        <f>'Income Statement'!E26</f>
        <v>19024</v>
      </c>
      <c r="G34" s="44">
        <f>'Income Statement'!F26</f>
        <v>19388</v>
      </c>
      <c r="H34" s="61">
        <f>'Income Statement'!G26</f>
        <v>20681.096368942079</v>
      </c>
      <c r="I34" s="61">
        <f>'Income Statement'!H26</f>
        <v>23215.404911383041</v>
      </c>
      <c r="J34" s="61">
        <f>'Income Statement'!I26</f>
        <v>27567.370780280737</v>
      </c>
      <c r="K34" s="61">
        <f>'Income Statement'!J26</f>
        <v>32314.578003809103</v>
      </c>
      <c r="L34" s="61">
        <f>'Income Statement'!K26</f>
        <v>37337.458935140268</v>
      </c>
    </row>
    <row r="35" spans="1:12" ht="15.75" customHeight="1" x14ac:dyDescent="0.3">
      <c r="A35" s="12" t="s">
        <v>411</v>
      </c>
      <c r="B35" s="206">
        <v>301</v>
      </c>
      <c r="C35" s="44">
        <v>88</v>
      </c>
      <c r="D35" s="44">
        <v>278</v>
      </c>
      <c r="E35" s="44">
        <v>165</v>
      </c>
      <c r="F35" s="44">
        <v>80</v>
      </c>
      <c r="G35" s="44">
        <v>85</v>
      </c>
      <c r="H35" s="61">
        <f ca="1">H36-H33-H34</f>
        <v>6810.9567126584298</v>
      </c>
      <c r="I35" s="61">
        <f t="shared" ref="I35:L35" ca="1" si="24">I36-I33-I34</f>
        <v>15817.31562090409</v>
      </c>
      <c r="J35" s="61">
        <f t="shared" ca="1" si="24"/>
        <v>28199.317555488724</v>
      </c>
      <c r="K35" s="61">
        <f t="shared" ca="1" si="24"/>
        <v>42268.420014911782</v>
      </c>
      <c r="L35" s="61">
        <f t="shared" ca="1" si="24"/>
        <v>57943.479734779408</v>
      </c>
    </row>
    <row r="36" spans="1:12" ht="15.75" customHeight="1" x14ac:dyDescent="0.3">
      <c r="A36" s="47" t="s">
        <v>47</v>
      </c>
      <c r="B36" s="50">
        <f t="shared" ref="B36:F36" si="25">SUM(B33:B35)</f>
        <v>15426</v>
      </c>
      <c r="C36" s="50">
        <f t="shared" si="25"/>
        <v>18536</v>
      </c>
      <c r="D36" s="50">
        <f t="shared" si="25"/>
        <v>18887</v>
      </c>
      <c r="E36" s="50">
        <f t="shared" si="25"/>
        <v>20442</v>
      </c>
      <c r="F36" s="50">
        <f t="shared" si="25"/>
        <v>21387</v>
      </c>
      <c r="G36" s="50">
        <f>SUM(G33:G35)</f>
        <v>22525</v>
      </c>
      <c r="H36" s="65">
        <f t="shared" ref="H36:L36" ca="1" si="26">SUM(H33:H35)</f>
        <v>31398.61308160051</v>
      </c>
      <c r="I36" s="65">
        <f t="shared" ca="1" si="26"/>
        <v>44033.117332287133</v>
      </c>
      <c r="J36" s="65">
        <f t="shared" ca="1" si="26"/>
        <v>62167.196239769459</v>
      </c>
      <c r="K36" s="65">
        <f t="shared" ca="1" si="26"/>
        <v>82775.648135840893</v>
      </c>
      <c r="L36" s="65">
        <f t="shared" ca="1" si="26"/>
        <v>105767.53081983328</v>
      </c>
    </row>
    <row r="37" spans="1:12" ht="15.75" customHeight="1" x14ac:dyDescent="0.3">
      <c r="A37" s="7" t="s">
        <v>48</v>
      </c>
      <c r="B37" s="44">
        <v>393</v>
      </c>
      <c r="C37" s="44">
        <v>579</v>
      </c>
      <c r="D37" s="44">
        <v>476</v>
      </c>
      <c r="E37" s="44">
        <v>59</v>
      </c>
      <c r="F37" s="44">
        <v>147</v>
      </c>
      <c r="G37" s="44">
        <v>125</v>
      </c>
      <c r="H37" s="61">
        <f ca="1">H38-H36</f>
        <v>-7827.1630816005127</v>
      </c>
      <c r="I37" s="61">
        <f t="shared" ref="I37:L37" ca="1" si="27">I38-I36</f>
        <v>-16925.949832287137</v>
      </c>
      <c r="J37" s="61">
        <f t="shared" ca="1" si="27"/>
        <v>-22861.803364769461</v>
      </c>
      <c r="K37" s="61">
        <f t="shared" ca="1" si="27"/>
        <v>-25782.828467090905</v>
      </c>
      <c r="L37" s="61">
        <f t="shared" ca="1" si="27"/>
        <v>-43075.429184208297</v>
      </c>
    </row>
    <row r="38" spans="1:12" ht="15.75" customHeight="1" x14ac:dyDescent="0.3">
      <c r="A38" s="7" t="s">
        <v>412</v>
      </c>
      <c r="B38" s="50">
        <f t="shared" ref="B38" si="28">SUM(B36:B37)</f>
        <v>15819</v>
      </c>
      <c r="C38" s="50">
        <f t="shared" ref="C38:F38" si="29">SUM(C36:C37)</f>
        <v>19115</v>
      </c>
      <c r="D38" s="50">
        <f t="shared" si="29"/>
        <v>19363</v>
      </c>
      <c r="E38" s="50">
        <f t="shared" si="29"/>
        <v>20501</v>
      </c>
      <c r="F38" s="50">
        <f t="shared" si="29"/>
        <v>21534</v>
      </c>
      <c r="G38" s="50">
        <f>SUM(G36:G37)</f>
        <v>22650</v>
      </c>
      <c r="H38" s="65">
        <f>H19*$H$63</f>
        <v>23571.449999999997</v>
      </c>
      <c r="I38" s="65">
        <f t="shared" ref="I38:L38" si="30">I19*$H$63</f>
        <v>27107.167499999996</v>
      </c>
      <c r="J38" s="65">
        <f t="shared" si="30"/>
        <v>39305.392874999998</v>
      </c>
      <c r="K38" s="65">
        <f t="shared" si="30"/>
        <v>56992.819668749988</v>
      </c>
      <c r="L38" s="65">
        <f t="shared" si="30"/>
        <v>62692.101635624982</v>
      </c>
    </row>
    <row r="39" spans="1:12" ht="15.75" customHeight="1" thickBot="1" x14ac:dyDescent="0.35">
      <c r="A39" s="7" t="s">
        <v>49</v>
      </c>
      <c r="B39" s="49">
        <f>B38+B31</f>
        <v>34664</v>
      </c>
      <c r="C39" s="49">
        <f>C38+C31</f>
        <v>51716</v>
      </c>
      <c r="D39" s="49">
        <f t="shared" ref="D39:L39" si="31">D38+D31</f>
        <v>56976</v>
      </c>
      <c r="E39" s="49">
        <f t="shared" si="31"/>
        <v>70283</v>
      </c>
      <c r="F39" s="49">
        <f t="shared" si="31"/>
        <v>63675</v>
      </c>
      <c r="G39" s="49">
        <f t="shared" si="31"/>
        <v>61627</v>
      </c>
      <c r="H39" s="64">
        <f t="shared" si="31"/>
        <v>67347</v>
      </c>
      <c r="I39" s="64">
        <f t="shared" si="31"/>
        <v>77449.049999999988</v>
      </c>
      <c r="J39" s="64">
        <f t="shared" si="31"/>
        <v>112301.1225</v>
      </c>
      <c r="K39" s="64">
        <f t="shared" si="31"/>
        <v>162836.62762499996</v>
      </c>
      <c r="L39" s="64">
        <f t="shared" si="31"/>
        <v>179120.29038749996</v>
      </c>
    </row>
    <row r="40" spans="1:12" ht="15.75" customHeight="1" thickTop="1" x14ac:dyDescent="0.3">
      <c r="H40" s="453"/>
      <c r="I40" s="453"/>
      <c r="J40" s="453"/>
      <c r="K40" s="453"/>
      <c r="L40" s="453"/>
    </row>
    <row r="41" spans="1:12" ht="15.75" customHeight="1" x14ac:dyDescent="0.3">
      <c r="A41" s="67" t="s">
        <v>86</v>
      </c>
      <c r="B41" s="67"/>
    </row>
    <row r="42" spans="1:12" ht="15.75" customHeight="1" x14ac:dyDescent="0.3">
      <c r="A42" s="7" t="s">
        <v>87</v>
      </c>
      <c r="C42" s="51">
        <f>C19/'Income Statement'!B6</f>
        <v>1.5844848187750851</v>
      </c>
      <c r="D42" s="51">
        <f>D19/'Income Statement'!C6</f>
        <v>1.874827245804541</v>
      </c>
      <c r="E42" s="51">
        <f>E19/'Income Statement'!D6</f>
        <v>2.6921132263377636</v>
      </c>
      <c r="F42" s="51">
        <f>F19/'Income Statement'!E6</f>
        <v>2.8777059700818004</v>
      </c>
      <c r="G42" s="51">
        <f>G19/'Income Statement'!F6</f>
        <v>2.745200231636153</v>
      </c>
      <c r="H42" s="16">
        <v>3</v>
      </c>
    </row>
    <row r="43" spans="1:12" ht="15.75" customHeight="1" x14ac:dyDescent="0.3">
      <c r="A43" s="7" t="s">
        <v>88</v>
      </c>
      <c r="C43" s="14">
        <f>C11/C19</f>
        <v>0.46279681336530282</v>
      </c>
      <c r="D43" s="14">
        <f t="shared" ref="D43:G43" si="32">D11/D19</f>
        <v>0.34379387812412243</v>
      </c>
      <c r="E43" s="14">
        <f t="shared" si="32"/>
        <v>0.45278374571375724</v>
      </c>
      <c r="F43" s="14">
        <f t="shared" si="32"/>
        <v>0.56279544562230077</v>
      </c>
      <c r="G43" s="14">
        <f t="shared" si="32"/>
        <v>0.4916027066058708</v>
      </c>
      <c r="H43" s="19">
        <v>0.5</v>
      </c>
      <c r="I43" s="344" t="s">
        <v>413</v>
      </c>
      <c r="J43" s="345"/>
      <c r="K43" s="345"/>
      <c r="L43" s="346"/>
    </row>
    <row r="44" spans="1:12" ht="15.75" customHeight="1" x14ac:dyDescent="0.3">
      <c r="A44" s="7" t="s">
        <v>90</v>
      </c>
      <c r="C44" s="14">
        <f>C18/C19</f>
        <v>0.53720318663469724</v>
      </c>
      <c r="D44" s="14">
        <f t="shared" ref="D44:G44" si="33">D18/D19</f>
        <v>0.65620612187587757</v>
      </c>
      <c r="E44" s="14">
        <f t="shared" si="33"/>
        <v>0.54721625428624276</v>
      </c>
      <c r="F44" s="14">
        <f t="shared" si="33"/>
        <v>0.43720455437769923</v>
      </c>
      <c r="G44" s="14">
        <f t="shared" si="33"/>
        <v>0.5083972933941292</v>
      </c>
      <c r="H44" s="19">
        <v>0.5</v>
      </c>
      <c r="I44" s="347"/>
      <c r="J44" s="348"/>
      <c r="K44" s="348"/>
      <c r="L44" s="349"/>
    </row>
    <row r="45" spans="1:12" ht="15.75" customHeight="1" x14ac:dyDescent="0.3">
      <c r="A45" s="12" t="s">
        <v>91</v>
      </c>
      <c r="B45" s="12"/>
      <c r="C45" s="14">
        <f>C7/C11</f>
        <v>7.3368429848750735E-2</v>
      </c>
      <c r="D45" s="14">
        <f t="shared" ref="D45:G45" si="34">D7/D11</f>
        <v>0.18715540126608127</v>
      </c>
      <c r="E45" s="14">
        <f t="shared" si="34"/>
        <v>0.56317757596706786</v>
      </c>
      <c r="F45" s="14">
        <f t="shared" si="34"/>
        <v>0.33901663132045989</v>
      </c>
      <c r="G45" s="14">
        <f t="shared" si="34"/>
        <v>0.41989041457618165</v>
      </c>
      <c r="H45" s="19">
        <v>0.38</v>
      </c>
      <c r="I45" s="90"/>
      <c r="J45" s="11"/>
      <c r="K45" s="11"/>
      <c r="L45" s="89"/>
    </row>
    <row r="46" spans="1:12" ht="15.75" customHeight="1" x14ac:dyDescent="0.3">
      <c r="A46" s="12" t="s">
        <v>92</v>
      </c>
      <c r="B46" s="12"/>
      <c r="C46" s="14">
        <f>C8/'Income Statement'!B6</f>
        <v>0.17935598517111431</v>
      </c>
      <c r="D46" s="14">
        <f>D8/'Income Statement'!C6</f>
        <v>0.14853570253372819</v>
      </c>
      <c r="E46" s="14">
        <f>E8/'Income Statement'!D6</f>
        <v>0.14750833109893899</v>
      </c>
      <c r="F46" s="14">
        <f>F8/'Income Statement'!E6</f>
        <v>0.15035928955574637</v>
      </c>
      <c r="G46" s="14">
        <f>G8/'Income Statement'!F6</f>
        <v>0.1595616731257517</v>
      </c>
      <c r="H46" s="19">
        <v>0.14000000000000001</v>
      </c>
      <c r="I46" s="90"/>
      <c r="J46" s="11"/>
      <c r="K46" s="11"/>
      <c r="L46" s="89"/>
    </row>
    <row r="47" spans="1:12" ht="15.75" customHeight="1" x14ac:dyDescent="0.3">
      <c r="A47" s="12" t="s">
        <v>93</v>
      </c>
      <c r="B47" s="12"/>
      <c r="C47" s="14">
        <f>C9/'Income Statement'!B6</f>
        <v>5.9897668433469164E-2</v>
      </c>
      <c r="D47" s="14">
        <f>D9/'Income Statement'!C6</f>
        <v>5.2221125370187561E-2</v>
      </c>
      <c r="E47" s="14">
        <f>E9/'Income Statement'!D6</f>
        <v>3.0681426437353967E-2</v>
      </c>
      <c r="F47" s="14">
        <f>F9/'Income Statement'!E6</f>
        <v>3.6787635016043749E-2</v>
      </c>
      <c r="G47" s="14">
        <f>G9/'Income Statement'!F6</f>
        <v>4.1070871753752951E-2</v>
      </c>
      <c r="H47" s="19">
        <v>0.04</v>
      </c>
      <c r="I47" s="90"/>
      <c r="J47" s="11"/>
      <c r="K47" s="11"/>
      <c r="L47" s="89"/>
    </row>
    <row r="48" spans="1:12" ht="15.75" customHeight="1" x14ac:dyDescent="0.3">
      <c r="A48" s="12" t="s">
        <v>94</v>
      </c>
      <c r="B48" s="12"/>
      <c r="C48" s="14">
        <f>C10/C11</f>
        <v>6.3424417147154674E-2</v>
      </c>
      <c r="D48" s="14">
        <f t="shared" ref="D48:G48" si="35">D10/D11</f>
        <v>8.1274249540535026E-2</v>
      </c>
      <c r="E48" s="14">
        <f t="shared" si="35"/>
        <v>5.2194953335637749E-2</v>
      </c>
      <c r="F48" s="14">
        <f t="shared" si="35"/>
        <v>4.4815269561334969E-2</v>
      </c>
      <c r="G48" s="14">
        <f t="shared" si="35"/>
        <v>4.7531027198310011E-2</v>
      </c>
      <c r="H48" s="19">
        <v>0.06</v>
      </c>
      <c r="I48" s="205"/>
      <c r="J48" s="101"/>
      <c r="K48" s="101"/>
      <c r="L48" s="102"/>
    </row>
    <row r="49" spans="1:12" ht="15.75" customHeight="1" x14ac:dyDescent="0.3">
      <c r="A49" s="12" t="s">
        <v>100</v>
      </c>
      <c r="B49" s="12"/>
      <c r="C49" s="14">
        <f>C13/'Income Statement'!B6</f>
        <v>6.9732528570115512E-2</v>
      </c>
      <c r="D49" s="14">
        <f>D13/'Income Statement'!C6</f>
        <v>9.4274432379072057E-2</v>
      </c>
      <c r="E49" s="14">
        <f>E13/'Income Statement'!D6</f>
        <v>0.12621136093767954</v>
      </c>
      <c r="F49" s="14">
        <f>F13/'Income Statement'!E6</f>
        <v>0.18104578117232339</v>
      </c>
      <c r="G49" s="14">
        <f>G13/'Income Statement'!F6</f>
        <v>0.20054345405140542</v>
      </c>
      <c r="H49" s="19">
        <v>0.2</v>
      </c>
      <c r="I49" s="7" t="s">
        <v>414</v>
      </c>
    </row>
    <row r="50" spans="1:12" ht="15.75" customHeight="1" x14ac:dyDescent="0.3">
      <c r="A50" s="12" t="s">
        <v>102</v>
      </c>
      <c r="B50" s="12"/>
      <c r="C50" s="66">
        <f>C14/C19</f>
        <v>0.23205584345270322</v>
      </c>
      <c r="D50" s="66">
        <f t="shared" ref="D50:G50" si="36">D14/D19</f>
        <v>0.36696152766076945</v>
      </c>
      <c r="E50" s="66">
        <f t="shared" si="36"/>
        <v>0.15912809641022724</v>
      </c>
      <c r="F50" s="66">
        <f t="shared" si="36"/>
        <v>2.2347860227718886E-2</v>
      </c>
      <c r="G50" s="66">
        <f t="shared" si="36"/>
        <v>2.414526100572801E-2</v>
      </c>
      <c r="H50" s="19">
        <v>2.5000000000000001E-2</v>
      </c>
      <c r="I50" s="344" t="s">
        <v>250</v>
      </c>
      <c r="J50" s="345"/>
      <c r="K50" s="345"/>
      <c r="L50" s="346"/>
    </row>
    <row r="51" spans="1:12" ht="15.75" customHeight="1" x14ac:dyDescent="0.3">
      <c r="A51" s="12" t="s">
        <v>101</v>
      </c>
      <c r="B51" s="12"/>
      <c r="C51" s="66">
        <f>C15/C19</f>
        <v>0.19813984066826515</v>
      </c>
      <c r="D51" s="66">
        <f t="shared" ref="D51:G51" si="37">D15/D19</f>
        <v>0.15743470935130582</v>
      </c>
      <c r="E51" s="66">
        <f t="shared" si="37"/>
        <v>0.24330207873881307</v>
      </c>
      <c r="F51" s="66">
        <f t="shared" si="37"/>
        <v>0.24716136631330979</v>
      </c>
      <c r="G51" s="66">
        <f t="shared" si="37"/>
        <v>0.22370065068882145</v>
      </c>
      <c r="H51" s="19">
        <v>0.214</v>
      </c>
      <c r="I51" s="347"/>
      <c r="J51" s="348"/>
      <c r="K51" s="348"/>
      <c r="L51" s="349"/>
    </row>
    <row r="52" spans="1:12" ht="15.75" customHeight="1" x14ac:dyDescent="0.3">
      <c r="A52" s="12" t="s">
        <v>415</v>
      </c>
      <c r="B52" s="12"/>
      <c r="C52" s="14">
        <f>C17/C19</f>
        <v>4.0335679480238223E-2</v>
      </c>
      <c r="D52" s="14">
        <f t="shared" ref="D52:G52" si="38">D17/D19</f>
        <v>6.0955490030890201E-2</v>
      </c>
      <c r="E52" s="14">
        <f t="shared" si="38"/>
        <v>3.8729137913862524E-2</v>
      </c>
      <c r="F52" s="14">
        <f t="shared" si="38"/>
        <v>4.0125638005496664E-2</v>
      </c>
      <c r="G52" s="14">
        <f t="shared" si="38"/>
        <v>0.12069385172083665</v>
      </c>
      <c r="H52" s="19">
        <v>0.05</v>
      </c>
      <c r="I52" s="347"/>
      <c r="J52" s="348"/>
      <c r="K52" s="348"/>
      <c r="L52" s="349"/>
    </row>
    <row r="53" spans="1:12" ht="15.75" customHeight="1" x14ac:dyDescent="0.3">
      <c r="A53" s="12" t="s">
        <v>89</v>
      </c>
      <c r="B53" s="12"/>
      <c r="C53" s="14">
        <f>C31/C19</f>
        <v>0.63038518060174797</v>
      </c>
      <c r="D53" s="14">
        <f t="shared" ref="D53:G53" si="39">D31/D19</f>
        <v>0.66015515304689698</v>
      </c>
      <c r="E53" s="14">
        <f t="shared" si="39"/>
        <v>0.70830784115646739</v>
      </c>
      <c r="F53" s="14">
        <f t="shared" si="39"/>
        <v>0.66181389870435803</v>
      </c>
      <c r="G53" s="14">
        <f t="shared" si="39"/>
        <v>0.63246628912651925</v>
      </c>
      <c r="H53" s="19">
        <v>0.65</v>
      </c>
      <c r="I53" s="347"/>
      <c r="J53" s="348"/>
      <c r="K53" s="348"/>
      <c r="L53" s="349"/>
    </row>
    <row r="54" spans="1:12" ht="15.75" customHeight="1" x14ac:dyDescent="0.3">
      <c r="A54" s="12" t="s">
        <v>109</v>
      </c>
      <c r="B54" s="12"/>
      <c r="C54" s="14">
        <f>C26/C31</f>
        <v>0.30336492745621302</v>
      </c>
      <c r="D54" s="14">
        <f t="shared" ref="D54:G54" si="40">D26/D31</f>
        <v>0.24507484114534869</v>
      </c>
      <c r="E54" s="14">
        <f t="shared" si="40"/>
        <v>0.23371901490498573</v>
      </c>
      <c r="F54" s="14">
        <f t="shared" si="40"/>
        <v>0.25165515768491492</v>
      </c>
      <c r="G54" s="14">
        <f t="shared" si="40"/>
        <v>0.25037842830387153</v>
      </c>
      <c r="H54" s="19">
        <v>0.25</v>
      </c>
      <c r="I54" s="347"/>
      <c r="J54" s="348"/>
      <c r="K54" s="348"/>
      <c r="L54" s="349"/>
    </row>
    <row r="55" spans="1:12" ht="15.75" customHeight="1" x14ac:dyDescent="0.3">
      <c r="A55" s="12" t="s">
        <v>110</v>
      </c>
      <c r="B55" s="12"/>
      <c r="C55" s="14">
        <f>C30/C31</f>
        <v>0.69663507254378698</v>
      </c>
      <c r="D55" s="14">
        <f t="shared" ref="D55:G55" si="41">D30/D31</f>
        <v>0.75492515885465128</v>
      </c>
      <c r="E55" s="14">
        <f t="shared" si="41"/>
        <v>0.7662809850950143</v>
      </c>
      <c r="F55" s="14">
        <f t="shared" si="41"/>
        <v>0.74834484231508502</v>
      </c>
      <c r="G55" s="14">
        <f t="shared" si="41"/>
        <v>0.74962157169612853</v>
      </c>
      <c r="H55" s="19">
        <v>0.75</v>
      </c>
      <c r="I55" s="347"/>
      <c r="J55" s="348"/>
      <c r="K55" s="348"/>
      <c r="L55" s="349"/>
    </row>
    <row r="56" spans="1:12" ht="15.75" customHeight="1" x14ac:dyDescent="0.3">
      <c r="A56" s="12" t="s">
        <v>416</v>
      </c>
      <c r="B56" s="12"/>
      <c r="C56" s="14">
        <f>C22/C31</f>
        <v>3.613386092451152E-2</v>
      </c>
      <c r="D56" s="14">
        <f t="shared" ref="D56:G56" si="42">D22/D31</f>
        <v>3.2063382341211817E-2</v>
      </c>
      <c r="E56" s="14">
        <f t="shared" si="42"/>
        <v>1.6351291631513398E-2</v>
      </c>
      <c r="F56" s="14">
        <f t="shared" si="42"/>
        <v>1.8746588832728221E-2</v>
      </c>
      <c r="G56" s="14">
        <f t="shared" si="42"/>
        <v>1.8292839366806066E-2</v>
      </c>
      <c r="H56" s="19">
        <v>0.02</v>
      </c>
      <c r="I56" s="347"/>
      <c r="J56" s="348"/>
      <c r="K56" s="348"/>
      <c r="L56" s="349"/>
    </row>
    <row r="57" spans="1:12" ht="15.75" customHeight="1" x14ac:dyDescent="0.3">
      <c r="A57" s="12" t="s">
        <v>104</v>
      </c>
      <c r="B57" s="12"/>
      <c r="C57" s="14">
        <f>C23/C31</f>
        <v>0.12631514370724825</v>
      </c>
      <c r="D57" s="14">
        <f t="shared" ref="D57:G57" si="43">D23/D31</f>
        <v>0.13349108021162895</v>
      </c>
      <c r="E57" s="14">
        <f t="shared" si="43"/>
        <v>9.4491985054839092E-2</v>
      </c>
      <c r="F57" s="14">
        <f t="shared" si="43"/>
        <v>9.3210887259438546E-2</v>
      </c>
      <c r="G57" s="14">
        <f t="shared" si="43"/>
        <v>8.9103830464119863E-2</v>
      </c>
      <c r="H57" s="19">
        <v>0.09</v>
      </c>
      <c r="I57" s="347"/>
      <c r="J57" s="348"/>
      <c r="K57" s="348"/>
      <c r="L57" s="349"/>
    </row>
    <row r="58" spans="1:12" ht="15.75" customHeight="1" x14ac:dyDescent="0.3">
      <c r="A58" s="12" t="s">
        <v>105</v>
      </c>
      <c r="B58" s="12"/>
      <c r="C58" s="14">
        <f>C24/C31</f>
        <v>0.11079414741879083</v>
      </c>
      <c r="D58" s="14">
        <f t="shared" ref="D58:G58" si="44">D24/D31</f>
        <v>7.9520378592507907E-2</v>
      </c>
      <c r="E58" s="14">
        <f t="shared" si="44"/>
        <v>6.769515085773975E-2</v>
      </c>
      <c r="F58" s="14">
        <f t="shared" si="44"/>
        <v>7.4488028285992269E-2</v>
      </c>
      <c r="G58" s="14">
        <f t="shared" si="44"/>
        <v>7.8867024142442982E-2</v>
      </c>
      <c r="H58" s="19">
        <v>0.08</v>
      </c>
      <c r="I58" s="347"/>
      <c r="J58" s="348"/>
      <c r="K58" s="348"/>
      <c r="L58" s="349"/>
    </row>
    <row r="59" spans="1:12" ht="15.75" customHeight="1" x14ac:dyDescent="0.3">
      <c r="A59" s="12" t="s">
        <v>106</v>
      </c>
      <c r="B59" s="12"/>
      <c r="C59" s="14">
        <f>C25/C19</f>
        <v>1.8988320829143784E-2</v>
      </c>
      <c r="D59" s="14">
        <f t="shared" ref="D59:G59" si="45">D25/D19</f>
        <v>0</v>
      </c>
      <c r="E59" s="14">
        <f t="shared" si="45"/>
        <v>3.9084842707340327E-2</v>
      </c>
      <c r="F59" s="14">
        <f t="shared" si="45"/>
        <v>4.3156654888103649E-2</v>
      </c>
      <c r="G59" s="14">
        <f t="shared" si="45"/>
        <v>4.0550408100345631E-2</v>
      </c>
      <c r="H59" s="19">
        <v>3.9E-2</v>
      </c>
      <c r="I59" s="347"/>
      <c r="J59" s="348"/>
      <c r="K59" s="348"/>
      <c r="L59" s="349"/>
    </row>
    <row r="60" spans="1:12" ht="15.75" customHeight="1" x14ac:dyDescent="0.3">
      <c r="A60" s="12" t="s">
        <v>107</v>
      </c>
      <c r="B60" s="12"/>
      <c r="C60" s="14">
        <f>C27/C19</f>
        <v>0.40747544280300102</v>
      </c>
      <c r="D60" s="14">
        <f t="shared" ref="D60:G60" si="46">D27/D19</f>
        <v>0.46240522325189554</v>
      </c>
      <c r="E60" s="14">
        <f t="shared" si="46"/>
        <v>0.43815716460595022</v>
      </c>
      <c r="F60" s="14">
        <f t="shared" si="46"/>
        <v>0.38592854338437377</v>
      </c>
      <c r="G60" s="14">
        <f t="shared" si="46"/>
        <v>0.35851169130413618</v>
      </c>
      <c r="H60" s="19">
        <v>0.4</v>
      </c>
      <c r="I60" s="350"/>
      <c r="J60" s="351"/>
      <c r="K60" s="351"/>
      <c r="L60" s="352"/>
    </row>
    <row r="61" spans="1:12" ht="15.75" customHeight="1" x14ac:dyDescent="0.3">
      <c r="A61" s="12" t="s">
        <v>417</v>
      </c>
      <c r="B61" s="12"/>
      <c r="C61" s="14">
        <f>C28/C31</f>
        <v>3.8127664795558416E-2</v>
      </c>
      <c r="D61" s="14">
        <f t="shared" ref="D61:G61" si="47">D28/D31</f>
        <v>4.6606226570600588E-2</v>
      </c>
      <c r="E61" s="14">
        <f t="shared" si="47"/>
        <v>0.13647503113575188</v>
      </c>
      <c r="F61" s="14">
        <f t="shared" si="47"/>
        <v>0.14052822666761586</v>
      </c>
      <c r="G61" s="14">
        <f t="shared" si="47"/>
        <v>0.15688739513046154</v>
      </c>
      <c r="H61" s="19">
        <v>0.15</v>
      </c>
      <c r="I61" s="7" t="s">
        <v>404</v>
      </c>
    </row>
    <row r="62" spans="1:12" ht="15.75" customHeight="1" x14ac:dyDescent="0.3">
      <c r="A62" s="12" t="s">
        <v>418</v>
      </c>
      <c r="B62" s="12"/>
      <c r="C62" s="14">
        <f>C29/C31</f>
        <v>1.2116192754823472E-2</v>
      </c>
      <c r="D62" s="14">
        <f t="shared" ref="D62:G62" si="48">D29/D31</f>
        <v>7.8696195464334137E-3</v>
      </c>
      <c r="E62" s="14">
        <f t="shared" si="48"/>
        <v>1.1208870676148005E-2</v>
      </c>
      <c r="F62" s="14">
        <f t="shared" si="48"/>
        <v>2.4679053653211835E-2</v>
      </c>
      <c r="G62" s="14">
        <f t="shared" si="48"/>
        <v>2.5887061600431024E-2</v>
      </c>
      <c r="H62" s="19">
        <v>3.5000000000000003E-2</v>
      </c>
    </row>
    <row r="63" spans="1:12" ht="15.75" customHeight="1" x14ac:dyDescent="0.3">
      <c r="A63" s="12" t="s">
        <v>108</v>
      </c>
      <c r="B63" s="12"/>
      <c r="C63" s="14">
        <f>C38/C19</f>
        <v>0.36961481939825197</v>
      </c>
      <c r="D63" s="14">
        <f t="shared" ref="D63:G63" si="49">D38/D19</f>
        <v>0.33984484695310307</v>
      </c>
      <c r="E63" s="14">
        <f t="shared" si="49"/>
        <v>0.29169215884353256</v>
      </c>
      <c r="F63" s="14">
        <f t="shared" si="49"/>
        <v>0.33818610129564192</v>
      </c>
      <c r="G63" s="14">
        <f t="shared" si="49"/>
        <v>0.3675337108734808</v>
      </c>
      <c r="H63" s="19">
        <v>0.35</v>
      </c>
      <c r="I63" s="7" t="s">
        <v>428</v>
      </c>
    </row>
    <row r="64" spans="1:12" x14ac:dyDescent="0.3">
      <c r="A64" s="12" t="s">
        <v>44</v>
      </c>
      <c r="B64" s="12"/>
      <c r="C64" s="44">
        <v>0</v>
      </c>
      <c r="D64" s="14">
        <f>(D33-C33)/C33</f>
        <v>1.7897091722595078E-2</v>
      </c>
      <c r="E64" s="14">
        <f t="shared" ref="E64:G64" si="50">(E33-D33)/D33</f>
        <v>1.7802197802197801</v>
      </c>
      <c r="F64" s="14">
        <f t="shared" si="50"/>
        <v>0.80474308300395259</v>
      </c>
      <c r="G64" s="14">
        <f t="shared" si="50"/>
        <v>0.33683749452474815</v>
      </c>
      <c r="H64" s="19">
        <v>0.28000000000000003</v>
      </c>
      <c r="I64" s="7" t="s">
        <v>419</v>
      </c>
    </row>
    <row r="65" spans="1:9" x14ac:dyDescent="0.3">
      <c r="A65" s="12" t="s">
        <v>411</v>
      </c>
      <c r="B65" s="12"/>
      <c r="C65" s="44">
        <v>0</v>
      </c>
      <c r="D65" s="14">
        <f>(D35-C35)/C35</f>
        <v>2.1590909090909092</v>
      </c>
      <c r="E65" s="14">
        <f t="shared" ref="E65:G65" si="51">(E35-D35)/D35</f>
        <v>-0.40647482014388492</v>
      </c>
      <c r="F65" s="14">
        <f t="shared" si="51"/>
        <v>-0.51515151515151514</v>
      </c>
      <c r="G65" s="14">
        <f t="shared" si="51"/>
        <v>6.25E-2</v>
      </c>
      <c r="H65" s="19">
        <v>7.0000000000000007E-2</v>
      </c>
      <c r="I65" s="7" t="s">
        <v>251</v>
      </c>
    </row>
    <row r="66" spans="1:9" x14ac:dyDescent="0.3">
      <c r="A66" s="12" t="s">
        <v>48</v>
      </c>
      <c r="B66" s="12"/>
      <c r="C66" s="44">
        <v>0</v>
      </c>
      <c r="D66" s="14">
        <f>(D37-C37)/C37</f>
        <v>-0.17789291882556132</v>
      </c>
      <c r="E66" s="14">
        <f t="shared" ref="E66:G66" si="52">(E37-D37)/D37</f>
        <v>-0.87605042016806722</v>
      </c>
      <c r="F66" s="14">
        <f t="shared" si="52"/>
        <v>1.4915254237288136</v>
      </c>
      <c r="G66" s="14">
        <f t="shared" si="52"/>
        <v>-0.14965986394557823</v>
      </c>
      <c r="H66" s="19">
        <v>0.18</v>
      </c>
      <c r="I66" s="7" t="s">
        <v>420</v>
      </c>
    </row>
    <row r="67" spans="1:9" x14ac:dyDescent="0.3">
      <c r="A67" s="7" t="s">
        <v>113</v>
      </c>
      <c r="C67" s="44">
        <v>-5500</v>
      </c>
      <c r="D67" s="44">
        <v>-2000</v>
      </c>
      <c r="E67" s="44">
        <v>-2000</v>
      </c>
      <c r="F67" s="44">
        <v>-2000</v>
      </c>
      <c r="G67" s="44">
        <v>-2000</v>
      </c>
    </row>
  </sheetData>
  <mergeCells count="2">
    <mergeCell ref="I43:L44"/>
    <mergeCell ref="I50:L60"/>
  </mergeCells>
  <conditionalFormatting sqref="B3:L3">
    <cfRule type="containsText" dxfId="1" priority="1" operator="containsText" text="OK">
      <formula>NOT(ISERROR(SEARCH("OK",B3)))</formula>
    </cfRule>
    <cfRule type="containsText" dxfId="0" priority="2" operator="containsText" text="ERROR">
      <formula>NOT(ISERROR(SEARCH("ERROR",B3)))</formula>
    </cfRule>
  </conditionalFormatting>
  <pageMargins left="0.7" right="0.7" top="0.75" bottom="0.75" header="0.3" footer="0.3"/>
  <ignoredErrors>
    <ignoredError sqref="H31"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5B46B-0F14-4AA0-A7B2-E8C5270DDBF9}">
  <sheetPr codeName="Sheet7"/>
  <dimension ref="A1:K28"/>
  <sheetViews>
    <sheetView showGridLines="0" zoomScale="90" zoomScaleNormal="90" workbookViewId="0">
      <pane xSplit="1" ySplit="2" topLeftCell="B3" activePane="bottomRight" state="frozen"/>
      <selection pane="topRight" activeCell="B1" sqref="B1"/>
      <selection pane="bottomLeft" activeCell="A6" sqref="A6"/>
      <selection pane="bottomRight" activeCell="G13" sqref="G13"/>
    </sheetView>
  </sheetViews>
  <sheetFormatPr defaultColWidth="9.140625" defaultRowHeight="16.5" x14ac:dyDescent="0.3"/>
  <cols>
    <col min="1" max="1" width="50.7109375" style="7" customWidth="1"/>
    <col min="2" max="3" width="10.42578125" style="44" bestFit="1" customWidth="1"/>
    <col min="4" max="6" width="9.42578125" style="44" bestFit="1" customWidth="1"/>
    <col min="7" max="11" width="9.28515625" style="44" bestFit="1" customWidth="1"/>
    <col min="12" max="16384" width="9.140625" style="7"/>
  </cols>
  <sheetData>
    <row r="1" spans="1:11" ht="15" customHeight="1" x14ac:dyDescent="0.3">
      <c r="A1" s="27" t="s">
        <v>98</v>
      </c>
      <c r="B1" s="58" t="s">
        <v>96</v>
      </c>
      <c r="C1" s="52"/>
      <c r="D1" s="52"/>
      <c r="E1" s="52"/>
      <c r="F1" s="52"/>
      <c r="G1" s="53" t="s">
        <v>97</v>
      </c>
      <c r="H1" s="54"/>
      <c r="I1" s="54"/>
      <c r="J1" s="54"/>
      <c r="K1" s="54"/>
    </row>
    <row r="2" spans="1:11" ht="20.25" x14ac:dyDescent="0.3">
      <c r="A2" s="22" t="s">
        <v>118</v>
      </c>
      <c r="B2" s="59">
        <v>2015</v>
      </c>
      <c r="C2" s="59">
        <v>2016</v>
      </c>
      <c r="D2" s="59">
        <v>2017</v>
      </c>
      <c r="E2" s="59">
        <v>2018</v>
      </c>
      <c r="F2" s="59">
        <v>2019</v>
      </c>
      <c r="G2" s="60">
        <v>2020</v>
      </c>
      <c r="H2" s="60">
        <v>2021</v>
      </c>
      <c r="I2" s="60">
        <v>2022</v>
      </c>
      <c r="J2" s="60">
        <v>2023</v>
      </c>
      <c r="K2" s="60">
        <v>2024</v>
      </c>
    </row>
    <row r="3" spans="1:11" x14ac:dyDescent="0.3">
      <c r="A3" s="7" t="s">
        <v>55</v>
      </c>
    </row>
    <row r="4" spans="1:11" x14ac:dyDescent="0.3">
      <c r="A4" s="12" t="s">
        <v>56</v>
      </c>
      <c r="B4" s="44">
        <f>'Income Statement'!B6</f>
        <v>32639</v>
      </c>
      <c r="C4" s="44">
        <f>'Income Statement'!C6</f>
        <v>30390</v>
      </c>
      <c r="D4" s="44">
        <f>'Income Statement'!D6</f>
        <v>26107</v>
      </c>
      <c r="E4" s="44">
        <f>'Income Statement'!E6</f>
        <v>22127</v>
      </c>
      <c r="F4" s="44">
        <f>'Income Statement'!F6</f>
        <v>22449</v>
      </c>
      <c r="G4" s="61">
        <f>'Income Statement'!G6</f>
        <v>25816.35</v>
      </c>
      <c r="H4" s="61">
        <f>'Income Statement'!H6</f>
        <v>37433.707499999997</v>
      </c>
      <c r="I4" s="61">
        <f>'Income Statement'!I6</f>
        <v>54278.875874999991</v>
      </c>
      <c r="J4" s="61">
        <f>'Income Statement'!J6</f>
        <v>59706.763462499992</v>
      </c>
      <c r="K4" s="61">
        <f>'Income Statement'!K6</f>
        <v>65677.439808750001</v>
      </c>
    </row>
    <row r="5" spans="1:11" x14ac:dyDescent="0.3">
      <c r="A5" s="12" t="s">
        <v>57</v>
      </c>
      <c r="B5" s="44">
        <f>'Income Statement'!B14</f>
        <v>154</v>
      </c>
      <c r="C5" s="44">
        <f>'Income Statement'!C14</f>
        <v>428</v>
      </c>
      <c r="D5" s="44">
        <f>'Income Statement'!D14</f>
        <v>523</v>
      </c>
      <c r="E5" s="44">
        <f>'Income Statement'!E14</f>
        <v>676</v>
      </c>
      <c r="F5" s="44">
        <f>'Income Statement'!F14</f>
        <v>1868</v>
      </c>
      <c r="G5" s="61">
        <f>'Income Statement'!G14</f>
        <v>1626.4300499999995</v>
      </c>
      <c r="H5" s="61">
        <f>'Income Statement'!H14</f>
        <v>2358.3235724999995</v>
      </c>
      <c r="I5" s="61">
        <f>'Income Statement'!I14</f>
        <v>3419.5691801249995</v>
      </c>
      <c r="J5" s="61">
        <f>'Income Statement'!J14</f>
        <v>3761.526098137499</v>
      </c>
      <c r="K5" s="61">
        <f>'Income Statement'!K14</f>
        <v>4137.6787079512496</v>
      </c>
    </row>
    <row r="6" spans="1:11" x14ac:dyDescent="0.3">
      <c r="A6" s="12" t="s">
        <v>75</v>
      </c>
      <c r="B6" s="44">
        <f>-'Income Statement'!B9</f>
        <v>-3014</v>
      </c>
      <c r="C6" s="44">
        <f>-'Income Statement'!C9</f>
        <v>-5098</v>
      </c>
      <c r="D6" s="44">
        <f>-'Income Statement'!D9</f>
        <v>-3734</v>
      </c>
      <c r="E6" s="44">
        <f>-'Income Statement'!E9</f>
        <v>-5018</v>
      </c>
      <c r="F6" s="44">
        <f>-'Income Statement'!F9</f>
        <v>-9106</v>
      </c>
      <c r="G6" s="61">
        <f>-'Income Statement'!G9</f>
        <v>-7590.0068999999985</v>
      </c>
      <c r="H6" s="61">
        <f>-'Income Statement'!H9</f>
        <v>-11005.510004999998</v>
      </c>
      <c r="I6" s="61">
        <f>-'Income Statement'!I9</f>
        <v>-15957.989507249997</v>
      </c>
      <c r="J6" s="61">
        <f>-'Income Statement'!J9</f>
        <v>-17553.788457974995</v>
      </c>
      <c r="K6" s="61">
        <f>-'Income Statement'!K9</f>
        <v>-19309.167303772498</v>
      </c>
    </row>
    <row r="7" spans="1:11" x14ac:dyDescent="0.3">
      <c r="A7" s="12" t="s">
        <v>58</v>
      </c>
      <c r="B7" s="44">
        <f>-'Income Statement'!B8-'Income Statement'!B10</f>
        <v>-7432</v>
      </c>
      <c r="C7" s="44">
        <f>-'Income Statement'!C8-'Income Statement'!C10</f>
        <v>-7659</v>
      </c>
      <c r="D7" s="44">
        <f>-'Income Statement'!D8-'Income Statement'!D10</f>
        <v>-8249</v>
      </c>
      <c r="E7" s="44">
        <f>-'Income Statement'!E8-'Income Statement'!E10</f>
        <v>-8909</v>
      </c>
      <c r="F7" s="44">
        <f>-'Income Statement'!F8-'Income Statement'!F10</f>
        <v>-9056</v>
      </c>
      <c r="G7" s="61">
        <f>-'Income Statement'!G8-'Income Statement'!G10</f>
        <v>-10481.438099999998</v>
      </c>
      <c r="H7" s="61">
        <f>-'Income Statement'!H8-'Income Statement'!H10</f>
        <v>-15198.085244999998</v>
      </c>
      <c r="I7" s="61">
        <f>-'Income Statement'!I8-'Income Statement'!I10</f>
        <v>-22037.223605249997</v>
      </c>
      <c r="J7" s="61">
        <f>-'Income Statement'!J8-'Income Statement'!J10</f>
        <v>-24240.945965774998</v>
      </c>
      <c r="K7" s="61">
        <f>-'Income Statement'!K8-'Income Statement'!K10</f>
        <v>-26665.0405623525</v>
      </c>
    </row>
    <row r="8" spans="1:11" x14ac:dyDescent="0.3">
      <c r="A8" s="12" t="s">
        <v>59</v>
      </c>
      <c r="B8" s="44">
        <f>-'Income Statement'!B16</f>
        <v>-3553</v>
      </c>
      <c r="C8" s="44">
        <f>-'Income Statement'!C16</f>
        <v>-3609</v>
      </c>
      <c r="D8" s="44">
        <f>-'Income Statement'!D16</f>
        <v>-8885</v>
      </c>
      <c r="E8" s="44">
        <f>-'Income Statement'!E16</f>
        <v>-2339</v>
      </c>
      <c r="F8" s="44">
        <f>-'Income Statement'!F16</f>
        <v>204</v>
      </c>
      <c r="G8" s="61">
        <f>-'Income Statement'!G16</f>
        <v>-2154.2419583999999</v>
      </c>
      <c r="H8" s="61">
        <f>-'Income Statement'!H16</f>
        <v>-3067.7723603100003</v>
      </c>
      <c r="I8" s="61">
        <f>-'Income Statement'!I16</f>
        <v>-4448.2699224494991</v>
      </c>
      <c r="J8" s="61">
        <f>-'Income Statement'!J16</f>
        <v>-5001.803839768837</v>
      </c>
      <c r="K8" s="61">
        <f>-'Income Statement'!K16</f>
        <v>-5501.9842237457215</v>
      </c>
    </row>
    <row r="9" spans="1:11" x14ac:dyDescent="0.3">
      <c r="A9" s="12" t="s">
        <v>60</v>
      </c>
      <c r="B9" s="44">
        <f>'Income Statement'!B13</f>
        <v>-688</v>
      </c>
      <c r="C9" s="44">
        <f>'Income Statement'!C13</f>
        <v>-964</v>
      </c>
      <c r="D9" s="44">
        <f>'Income Statement'!D13</f>
        <v>-1118</v>
      </c>
      <c r="E9" s="44">
        <f>'Income Statement'!E13</f>
        <v>-1077</v>
      </c>
      <c r="F9" s="44">
        <f>'Income Statement'!F13</f>
        <v>-995</v>
      </c>
      <c r="G9" s="61">
        <f>'Income Statement'!G13</f>
        <v>886.95999000000006</v>
      </c>
      <c r="H9" s="61">
        <f>'Income Statement'!H13</f>
        <v>1020.0039884999998</v>
      </c>
      <c r="I9" s="61">
        <f>'Income Statement'!I13</f>
        <v>1479.005783325</v>
      </c>
      <c r="J9" s="61">
        <f>'Income Statement'!J13</f>
        <v>2144.5583858212494</v>
      </c>
      <c r="K9" s="61">
        <f>'Income Statement'!K13</f>
        <v>2359.0142244033741</v>
      </c>
    </row>
    <row r="10" spans="1:11" x14ac:dyDescent="0.3">
      <c r="A10" s="7" t="s">
        <v>61</v>
      </c>
      <c r="B10" s="50">
        <f>SUM(B4:B9)</f>
        <v>18106</v>
      </c>
      <c r="C10" s="50">
        <f t="shared" ref="C10:K10" si="0">SUM(C4:C9)</f>
        <v>13488</v>
      </c>
      <c r="D10" s="50">
        <f t="shared" si="0"/>
        <v>4644</v>
      </c>
      <c r="E10" s="50">
        <f t="shared" si="0"/>
        <v>5460</v>
      </c>
      <c r="F10" s="50">
        <f t="shared" si="0"/>
        <v>5364</v>
      </c>
      <c r="G10" s="65">
        <f t="shared" si="0"/>
        <v>8104.0530816000037</v>
      </c>
      <c r="H10" s="65">
        <f t="shared" si="0"/>
        <v>11540.66745069</v>
      </c>
      <c r="I10" s="65">
        <f t="shared" si="0"/>
        <v>16733.967803500502</v>
      </c>
      <c r="J10" s="65">
        <f t="shared" si="0"/>
        <v>18816.309682939907</v>
      </c>
      <c r="K10" s="65">
        <f t="shared" si="0"/>
        <v>20697.940651233901</v>
      </c>
    </row>
    <row r="11" spans="1:11" x14ac:dyDescent="0.3">
      <c r="A11" s="7" t="s">
        <v>62</v>
      </c>
      <c r="G11" s="61"/>
      <c r="H11" s="61"/>
      <c r="I11" s="61"/>
      <c r="J11" s="61"/>
      <c r="K11" s="61"/>
    </row>
    <row r="12" spans="1:11" x14ac:dyDescent="0.3">
      <c r="A12" s="12" t="s">
        <v>63</v>
      </c>
      <c r="B12" s="44">
        <f>'Balance Sheet'!B13-'Balance Sheet'!C13</f>
        <v>-602</v>
      </c>
      <c r="C12" s="44">
        <f>'Balance Sheet'!C13-'Balance Sheet'!D13</f>
        <v>-589</v>
      </c>
      <c r="D12" s="44">
        <f>'Balance Sheet'!D13-'Balance Sheet'!E13</f>
        <v>-430</v>
      </c>
      <c r="E12" s="44">
        <f>'Balance Sheet'!E13-'Balance Sheet'!F13</f>
        <v>-711</v>
      </c>
      <c r="F12" s="44">
        <f>'Balance Sheet'!F13-'Balance Sheet'!G13</f>
        <v>-496</v>
      </c>
      <c r="G12" s="61">
        <f>'Balance Sheet'!G13-'Balance Sheet'!H13</f>
        <v>-661.27000000000044</v>
      </c>
      <c r="H12" s="61">
        <f>'Balance Sheet'!H13-'Balance Sheet'!I13</f>
        <v>-2323.4714999999997</v>
      </c>
      <c r="I12" s="61">
        <f>'Balance Sheet'!I13-'Balance Sheet'!J13</f>
        <v>-3369.0336749999988</v>
      </c>
      <c r="J12" s="61">
        <f>'Balance Sheet'!J13-'Balance Sheet'!K13</f>
        <v>-1085.5775174999999</v>
      </c>
      <c r="K12" s="61">
        <f>'Balance Sheet'!K13-'Balance Sheet'!L13</f>
        <v>-1194.1352692500022</v>
      </c>
    </row>
    <row r="13" spans="1:11" x14ac:dyDescent="0.3">
      <c r="A13" s="12" t="s">
        <v>64</v>
      </c>
      <c r="B13" s="44">
        <f>'Balance Sheet'!B15-'Balance Sheet'!C15</f>
        <v>826</v>
      </c>
      <c r="C13" s="44">
        <f>'Balance Sheet'!C15-'Balance Sheet'!D15</f>
        <v>1277</v>
      </c>
      <c r="D13" s="44">
        <f>'Balance Sheet'!D15-'Balance Sheet'!E15</f>
        <v>-8130</v>
      </c>
      <c r="E13" s="44">
        <f>'Balance Sheet'!E15-'Balance Sheet'!F15</f>
        <v>1362</v>
      </c>
      <c r="F13" s="44">
        <f>'Balance Sheet'!F15-'Balance Sheet'!G15</f>
        <v>1952</v>
      </c>
      <c r="G13" s="61">
        <f>'Balance Sheet'!G15-'Balance Sheet'!H15</f>
        <v>-626.25799999999981</v>
      </c>
      <c r="H13" s="61">
        <f>'Balance Sheet'!H15-'Balance Sheet'!I15</f>
        <v>-2161.8386999999984</v>
      </c>
      <c r="I13" s="61">
        <f>'Balance Sheet'!I15-'Balance Sheet'!J15</f>
        <v>-7458.3435150000005</v>
      </c>
      <c r="J13" s="61">
        <f>'Balance Sheet'!J15-'Balance Sheet'!K15</f>
        <v>-10814.598096749996</v>
      </c>
      <c r="K13" s="61">
        <f>'Balance Sheet'!K15-'Balance Sheet'!L15</f>
        <v>-3484.703831174993</v>
      </c>
    </row>
    <row r="14" spans="1:11" x14ac:dyDescent="0.3">
      <c r="A14" s="12" t="s">
        <v>50</v>
      </c>
      <c r="B14" s="44">
        <f>'Balance Sheet'!B14-'Balance Sheet'!C14</f>
        <v>-11535</v>
      </c>
      <c r="C14" s="44">
        <f>'Balance Sheet'!C14-'Balance Sheet'!D14</f>
        <v>-8907</v>
      </c>
      <c r="D14" s="44">
        <f>'Balance Sheet'!D14-'Balance Sheet'!E14</f>
        <v>9724</v>
      </c>
      <c r="E14" s="44">
        <f>'Balance Sheet'!E14-'Balance Sheet'!F14</f>
        <v>9761</v>
      </c>
      <c r="F14" s="44">
        <f>'Balance Sheet'!F14-'Balance Sheet'!G14</f>
        <v>-65</v>
      </c>
      <c r="G14" s="61">
        <f>'Balance Sheet'!G14-'Balance Sheet'!H14</f>
        <v>-195.67500000000018</v>
      </c>
      <c r="H14" s="61">
        <f>'Balance Sheet'!H14-'Balance Sheet'!I14</f>
        <v>-252.55124999999953</v>
      </c>
      <c r="I14" s="61">
        <f>'Balance Sheet'!I14-'Balance Sheet'!J14</f>
        <v>-871.30181250000032</v>
      </c>
      <c r="J14" s="61">
        <f>'Balance Sheet'!J14-'Balance Sheet'!K14</f>
        <v>-1263.3876281249991</v>
      </c>
      <c r="K14" s="61">
        <f>'Balance Sheet'!K14-'Balance Sheet'!L14</f>
        <v>-407.09156906249973</v>
      </c>
    </row>
    <row r="15" spans="1:11" x14ac:dyDescent="0.3">
      <c r="A15" s="12" t="s">
        <v>72</v>
      </c>
      <c r="B15" s="44">
        <f>'Balance Sheet'!B17-'Balance Sheet'!C17</f>
        <v>479</v>
      </c>
      <c r="C15" s="44">
        <f>'Balance Sheet'!C17-'Balance Sheet'!D17</f>
        <v>-1387</v>
      </c>
      <c r="D15" s="44">
        <f>'Balance Sheet'!D17-'Balance Sheet'!E17</f>
        <v>751</v>
      </c>
      <c r="E15" s="44">
        <f>'Balance Sheet'!E17-'Balance Sheet'!F17</f>
        <v>167</v>
      </c>
      <c r="F15" s="44">
        <f>'Balance Sheet'!F17-'Balance Sheet'!G17</f>
        <v>-4883</v>
      </c>
      <c r="G15" s="61">
        <f>'Balance Sheet'!G17-'Balance Sheet'!H17</f>
        <v>4070.6499999999996</v>
      </c>
      <c r="H15" s="61">
        <f>'Balance Sheet'!H17-'Balance Sheet'!I17</f>
        <v>-505.10249999999905</v>
      </c>
      <c r="I15" s="61">
        <f>'Balance Sheet'!I17-'Balance Sheet'!J17</f>
        <v>-1742.6036250000006</v>
      </c>
      <c r="J15" s="61">
        <f>'Balance Sheet'!J17-'Balance Sheet'!K17</f>
        <v>-2526.7752562499982</v>
      </c>
      <c r="K15" s="61">
        <f>'Balance Sheet'!K17-'Balance Sheet'!L17</f>
        <v>-814.18313812499946</v>
      </c>
    </row>
    <row r="16" spans="1:11" x14ac:dyDescent="0.3">
      <c r="A16" s="7" t="s">
        <v>77</v>
      </c>
      <c r="B16" s="50">
        <f>SUM(B12:B15)</f>
        <v>-10832</v>
      </c>
      <c r="C16" s="50">
        <f t="shared" ref="C16:K16" si="1">SUM(C12:C15)</f>
        <v>-9606</v>
      </c>
      <c r="D16" s="50">
        <f t="shared" si="1"/>
        <v>1915</v>
      </c>
      <c r="E16" s="50">
        <f t="shared" si="1"/>
        <v>10579</v>
      </c>
      <c r="F16" s="50">
        <f t="shared" si="1"/>
        <v>-3492</v>
      </c>
      <c r="G16" s="65">
        <f t="shared" si="1"/>
        <v>2587.4469999999992</v>
      </c>
      <c r="H16" s="65">
        <f t="shared" si="1"/>
        <v>-5242.9639499999967</v>
      </c>
      <c r="I16" s="65">
        <f t="shared" si="1"/>
        <v>-13441.282627500001</v>
      </c>
      <c r="J16" s="65">
        <f t="shared" si="1"/>
        <v>-15690.338498624995</v>
      </c>
      <c r="K16" s="65">
        <f t="shared" si="1"/>
        <v>-5900.1138076124944</v>
      </c>
    </row>
    <row r="17" spans="1:11" x14ac:dyDescent="0.3">
      <c r="A17" s="7" t="s">
        <v>65</v>
      </c>
      <c r="G17" s="61"/>
      <c r="H17" s="61"/>
      <c r="I17" s="61"/>
      <c r="J17" s="61"/>
      <c r="K17" s="61"/>
    </row>
    <row r="18" spans="1:11" x14ac:dyDescent="0.3">
      <c r="A18" s="12" t="s">
        <v>73</v>
      </c>
      <c r="B18" s="44">
        <f>'Balance Sheet'!C27-'Balance Sheet'!B27-'Balance Sheet'!B25</f>
        <v>8669</v>
      </c>
      <c r="C18" s="44">
        <f>'Balance Sheet'!D27-'Balance Sheet'!C27-'Balance Sheet'!C25</f>
        <v>4291</v>
      </c>
      <c r="D18" s="44">
        <f>'Balance Sheet'!E27-'Balance Sheet'!D27-'Balance Sheet'!D25</f>
        <v>4449</v>
      </c>
      <c r="E18" s="44">
        <f>'Balance Sheet'!F27-'Balance Sheet'!E27+'Balance Sheet'!F25</f>
        <v>-3473</v>
      </c>
      <c r="F18" s="44">
        <f>'Balance Sheet'!G27-'Balance Sheet'!F27</f>
        <v>-2480</v>
      </c>
      <c r="G18" s="61">
        <f>'Balance Sheet'!H27-'Balance Sheet'!G27</f>
        <v>4844.8000000000029</v>
      </c>
      <c r="H18" s="61">
        <f>'Balance Sheet'!I27-'Balance Sheet'!H27</f>
        <v>4040.8199999999924</v>
      </c>
      <c r="I18" s="61">
        <f>'Balance Sheet'!J27-'Balance Sheet'!I27</f>
        <v>13940.829000000005</v>
      </c>
      <c r="J18" s="61">
        <f>'Balance Sheet'!K27-'Balance Sheet'!J27</f>
        <v>20214.202049999985</v>
      </c>
      <c r="K18" s="61">
        <f>'Balance Sheet'!L27-'Balance Sheet'!K27</f>
        <v>6513.4651049999957</v>
      </c>
    </row>
    <row r="19" spans="1:11" x14ac:dyDescent="0.3">
      <c r="A19" s="12" t="s">
        <v>74</v>
      </c>
      <c r="B19" s="44">
        <f>'Balance Sheet'!C29-'Balance Sheet'!B29</f>
        <v>-206</v>
      </c>
      <c r="C19" s="44">
        <f>'Balance Sheet'!D29-'Balance Sheet'!C29</f>
        <v>-99</v>
      </c>
      <c r="D19" s="44">
        <f>'Balance Sheet'!E29-'Balance Sheet'!D29</f>
        <v>262</v>
      </c>
      <c r="E19" s="44">
        <f>'Balance Sheet'!F29-'Balance Sheet'!E29</f>
        <v>482</v>
      </c>
      <c r="F19" s="44">
        <f>'Balance Sheet'!G29-'Balance Sheet'!F29</f>
        <v>-31</v>
      </c>
      <c r="G19" s="61">
        <f>'Balance Sheet'!H29-'Balance Sheet'!G29</f>
        <v>-1682.4699999999975</v>
      </c>
      <c r="H19" s="61">
        <f>'Balance Sheet'!I29-'Balance Sheet'!H29</f>
        <v>-101.020500000006</v>
      </c>
      <c r="I19" s="61">
        <f>'Balance Sheet'!J29-'Balance Sheet'!I29</f>
        <v>-348.52072499999304</v>
      </c>
      <c r="J19" s="61">
        <f>'Balance Sheet'!K29-'Balance Sheet'!J29</f>
        <v>-505.35505125000236</v>
      </c>
      <c r="K19" s="61">
        <f>'Balance Sheet'!L29-'Balance Sheet'!K29</f>
        <v>-162.83662762499443</v>
      </c>
    </row>
    <row r="20" spans="1:11" x14ac:dyDescent="0.3">
      <c r="A20" s="12" t="s">
        <v>66</v>
      </c>
      <c r="B20" s="44">
        <f>('Balance Sheet'!C33-'Balance Sheet'!B33)</f>
        <v>-1946</v>
      </c>
      <c r="C20" s="44">
        <f>('Balance Sheet'!D33-'Balance Sheet'!C33)+'Income Statement'!B24</f>
        <v>-10941</v>
      </c>
      <c r="D20" s="44">
        <f>('Balance Sheet'!E33-'Balance Sheet'!D33)+'Income Statement'!C24</f>
        <v>-10073</v>
      </c>
      <c r="E20" s="44">
        <f>('Balance Sheet'!F33-'Balance Sheet'!E33)+'Income Statement'!D24</f>
        <v>-10</v>
      </c>
      <c r="F20" s="44">
        <f>('Balance Sheet'!G33-'Balance Sheet'!F33)+'Income Statement'!E24</f>
        <v>-1688</v>
      </c>
      <c r="G20" s="61">
        <f>('Balance Sheet'!H33-'Balance Sheet'!G33)+'Income Statement'!F24</f>
        <v>-928.44</v>
      </c>
      <c r="H20" s="61">
        <f>('Balance Sheet'!I33-'Balance Sheet'!H33)+'Income Statement'!G24</f>
        <v>-1652.9372922355201</v>
      </c>
      <c r="I20" s="61">
        <f>('Balance Sheet'!J33-'Balance Sheet'!I33)+'Income Statement'!H24</f>
        <v>-1818.6030777280007</v>
      </c>
      <c r="J20" s="61">
        <f>('Balance Sheet'!K33-'Balance Sheet'!J33)+'Income Statement'!I24</f>
        <v>-2197.774868027303</v>
      </c>
      <c r="K20" s="61">
        <f>('Balance Sheet'!L33-'Balance Sheet'!K33)+'Income Statement'!J24</f>
        <v>-2338.7811206235829</v>
      </c>
    </row>
    <row r="21" spans="1:11" x14ac:dyDescent="0.3">
      <c r="A21" s="12" t="s">
        <v>67</v>
      </c>
      <c r="B21" s="44">
        <f>'Income Statement'!B25</f>
        <v>-1890</v>
      </c>
      <c r="C21" s="44">
        <f>'Income Statement'!C25</f>
        <v>-2465</v>
      </c>
      <c r="D21" s="44">
        <f>'Income Statement'!D25</f>
        <v>-2742</v>
      </c>
      <c r="E21" s="44">
        <f>'Income Statement'!E25</f>
        <v>-2986</v>
      </c>
      <c r="F21" s="44">
        <f>'Income Statement'!F25</f>
        <v>-3239</v>
      </c>
      <c r="G21" s="61">
        <f>'Income Statement'!G25</f>
        <v>-4039.8704611776006</v>
      </c>
      <c r="H21" s="61">
        <f>'Income Statement'!H25</f>
        <v>-5753.0227241689663</v>
      </c>
      <c r="I21" s="61">
        <f>'Income Statement'!I25</f>
        <v>-8341.8829500449974</v>
      </c>
      <c r="J21" s="61">
        <f>'Income Statement'!J25</f>
        <v>-9379.9303769455455</v>
      </c>
      <c r="K21" s="61">
        <f>'Income Statement'!K25</f>
        <v>-10317.923414640101</v>
      </c>
    </row>
    <row r="22" spans="1:11" x14ac:dyDescent="0.3">
      <c r="A22" s="12" t="s">
        <v>1</v>
      </c>
      <c r="B22" s="44">
        <v>0</v>
      </c>
      <c r="C22" s="44">
        <v>710</v>
      </c>
      <c r="D22" s="44">
        <v>904</v>
      </c>
      <c r="E22" s="44">
        <v>300</v>
      </c>
      <c r="F22" s="44">
        <v>-743</v>
      </c>
      <c r="G22" s="61">
        <f>'Balance Sheet'!C67</f>
        <v>-5500</v>
      </c>
      <c r="H22" s="61">
        <f>'Balance Sheet'!D67</f>
        <v>-2000</v>
      </c>
      <c r="I22" s="61">
        <f>'Balance Sheet'!E67</f>
        <v>-2000</v>
      </c>
      <c r="J22" s="61">
        <f>'Balance Sheet'!F67</f>
        <v>-2000</v>
      </c>
      <c r="K22" s="61">
        <f>'Balance Sheet'!G67</f>
        <v>-2000</v>
      </c>
    </row>
    <row r="23" spans="1:11" x14ac:dyDescent="0.3">
      <c r="A23" s="7" t="s">
        <v>68</v>
      </c>
      <c r="B23" s="50">
        <f t="shared" ref="B23:K23" si="2">SUM(B18:B22)</f>
        <v>4627</v>
      </c>
      <c r="C23" s="50">
        <f t="shared" si="2"/>
        <v>-8504</v>
      </c>
      <c r="D23" s="50">
        <f t="shared" si="2"/>
        <v>-7200</v>
      </c>
      <c r="E23" s="50">
        <f t="shared" si="2"/>
        <v>-5687</v>
      </c>
      <c r="F23" s="50">
        <f t="shared" si="2"/>
        <v>-8181</v>
      </c>
      <c r="G23" s="65">
        <f t="shared" si="2"/>
        <v>-7305.9804611775953</v>
      </c>
      <c r="H23" s="65">
        <f t="shared" si="2"/>
        <v>-5466.1605164044995</v>
      </c>
      <c r="I23" s="65">
        <f t="shared" si="2"/>
        <v>1431.8222472270136</v>
      </c>
      <c r="J23" s="65">
        <f t="shared" si="2"/>
        <v>6131.1417537771358</v>
      </c>
      <c r="K23" s="65">
        <f t="shared" si="2"/>
        <v>-8306.0760578886839</v>
      </c>
    </row>
    <row r="24" spans="1:11" x14ac:dyDescent="0.3">
      <c r="A24" s="7" t="s">
        <v>69</v>
      </c>
      <c r="B24" s="44">
        <f t="shared" ref="B24:K24" si="3">B23+B16+B10</f>
        <v>11901</v>
      </c>
      <c r="C24" s="44">
        <f t="shared" si="3"/>
        <v>-4622</v>
      </c>
      <c r="D24" s="44">
        <f t="shared" si="3"/>
        <v>-641</v>
      </c>
      <c r="E24" s="44">
        <f t="shared" si="3"/>
        <v>10352</v>
      </c>
      <c r="F24" s="44">
        <f t="shared" si="3"/>
        <v>-6309</v>
      </c>
      <c r="G24" s="61">
        <f t="shared" si="3"/>
        <v>3385.5196204224076</v>
      </c>
      <c r="H24" s="61">
        <f t="shared" si="3"/>
        <v>831.54298428550283</v>
      </c>
      <c r="I24" s="61">
        <f t="shared" si="3"/>
        <v>4724.5074232275147</v>
      </c>
      <c r="J24" s="61">
        <f t="shared" si="3"/>
        <v>9257.1129380920484</v>
      </c>
      <c r="K24" s="61">
        <f t="shared" si="3"/>
        <v>6491.7507857327219</v>
      </c>
    </row>
    <row r="25" spans="1:11" x14ac:dyDescent="0.3">
      <c r="A25" s="7" t="s">
        <v>70</v>
      </c>
      <c r="B25" s="44">
        <f>'Balance Sheet'!B6</f>
        <v>10027</v>
      </c>
      <c r="C25" s="44">
        <f t="shared" ref="C25:K25" si="4">B26</f>
        <v>12851</v>
      </c>
      <c r="D25" s="44">
        <f t="shared" si="4"/>
        <v>8229</v>
      </c>
      <c r="E25" s="44">
        <f t="shared" si="4"/>
        <v>7588</v>
      </c>
      <c r="F25" s="44">
        <f t="shared" si="4"/>
        <v>17940</v>
      </c>
      <c r="G25" s="61">
        <f t="shared" si="4"/>
        <v>11631</v>
      </c>
      <c r="H25" s="61">
        <f t="shared" si="4"/>
        <v>15016.519620422408</v>
      </c>
      <c r="I25" s="61">
        <f t="shared" si="4"/>
        <v>15848.062604707911</v>
      </c>
      <c r="J25" s="61">
        <f t="shared" si="4"/>
        <v>20572.570027935428</v>
      </c>
      <c r="K25" s="61">
        <f t="shared" si="4"/>
        <v>29829.682966027474</v>
      </c>
    </row>
    <row r="26" spans="1:11" x14ac:dyDescent="0.3">
      <c r="A26" s="7" t="s">
        <v>71</v>
      </c>
      <c r="B26" s="44">
        <f>'Balance Sheet'!C6</f>
        <v>12851</v>
      </c>
      <c r="C26" s="44">
        <f>C24+C25</f>
        <v>8229</v>
      </c>
      <c r="D26" s="44">
        <f t="shared" ref="D26:K26" si="5">D24+D25</f>
        <v>7588</v>
      </c>
      <c r="E26" s="44">
        <f t="shared" si="5"/>
        <v>17940</v>
      </c>
      <c r="F26" s="44">
        <f t="shared" si="5"/>
        <v>11631</v>
      </c>
      <c r="G26" s="61">
        <f t="shared" si="5"/>
        <v>15016.519620422408</v>
      </c>
      <c r="H26" s="61">
        <f t="shared" si="5"/>
        <v>15848.062604707911</v>
      </c>
      <c r="I26" s="61">
        <f t="shared" si="5"/>
        <v>20572.570027935428</v>
      </c>
      <c r="J26" s="61">
        <f t="shared" si="5"/>
        <v>29829.682966027474</v>
      </c>
      <c r="K26" s="61">
        <f t="shared" si="5"/>
        <v>36321.433751760196</v>
      </c>
    </row>
    <row r="27" spans="1:11" ht="17.25" thickBot="1" x14ac:dyDescent="0.35">
      <c r="B27" s="49">
        <f>'Balance Sheet'!C6</f>
        <v>12851</v>
      </c>
      <c r="C27" s="49">
        <f>'Balance Sheet'!D6</f>
        <v>8229</v>
      </c>
      <c r="D27" s="49">
        <f>'Balance Sheet'!E6</f>
        <v>7588</v>
      </c>
      <c r="E27" s="49">
        <f>'Balance Sheet'!F6</f>
        <v>17940</v>
      </c>
      <c r="F27" s="49">
        <f>'Balance Sheet'!G6</f>
        <v>11631</v>
      </c>
      <c r="G27" s="49">
        <f>'Balance Sheet'!H6</f>
        <v>15016.519620422408</v>
      </c>
      <c r="H27" s="49">
        <f>'Balance Sheet'!I6</f>
        <v>15848.062604707911</v>
      </c>
      <c r="I27" s="49">
        <f>'Balance Sheet'!J6</f>
        <v>20572.570027935428</v>
      </c>
      <c r="J27" s="49">
        <f>'Balance Sheet'!K6</f>
        <v>29829.682966027474</v>
      </c>
      <c r="K27" s="49">
        <f>'Balance Sheet'!L6</f>
        <v>36321.433751760196</v>
      </c>
    </row>
    <row r="28" spans="1:11" ht="17.25" thickTop="1" x14ac:dyDescent="0.3">
      <c r="B28" s="57">
        <f t="shared" ref="B28:K28" si="6">B26-B27</f>
        <v>0</v>
      </c>
      <c r="C28" s="57">
        <f t="shared" si="6"/>
        <v>0</v>
      </c>
      <c r="D28" s="57">
        <f t="shared" si="6"/>
        <v>0</v>
      </c>
      <c r="E28" s="57">
        <f t="shared" si="6"/>
        <v>0</v>
      </c>
      <c r="F28" s="57">
        <f t="shared" si="6"/>
        <v>0</v>
      </c>
      <c r="G28" s="57">
        <f t="shared" si="6"/>
        <v>0</v>
      </c>
      <c r="H28" s="57">
        <f t="shared" si="6"/>
        <v>0</v>
      </c>
      <c r="I28" s="57">
        <f t="shared" si="6"/>
        <v>0</v>
      </c>
      <c r="J28" s="57">
        <f t="shared" si="6"/>
        <v>0</v>
      </c>
      <c r="K28" s="57">
        <f t="shared" si="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FC7A1-6038-4270-BECA-7A9637C5DFC4}">
  <sheetPr codeName="Sheet8"/>
  <dimension ref="A1:Q62"/>
  <sheetViews>
    <sheetView showGridLines="0" zoomScale="90" zoomScaleNormal="90" workbookViewId="0">
      <selection sqref="A1:A2"/>
    </sheetView>
  </sheetViews>
  <sheetFormatPr defaultColWidth="9.140625" defaultRowHeight="16.5" x14ac:dyDescent="0.3"/>
  <cols>
    <col min="1" max="1" width="12.7109375" style="71" customWidth="1"/>
    <col min="2" max="2" width="15.5703125" style="71" bestFit="1" customWidth="1"/>
    <col min="3" max="3" width="10.5703125" style="71" bestFit="1" customWidth="1"/>
    <col min="4" max="6" width="15.7109375" style="71" customWidth="1"/>
    <col min="7" max="8" width="9.140625" style="71"/>
    <col min="9" max="9" width="17.42578125" style="71" bestFit="1" customWidth="1"/>
    <col min="10" max="10" width="12" style="71" bestFit="1" customWidth="1"/>
    <col min="11" max="11" width="14.5703125" style="71" bestFit="1" customWidth="1"/>
    <col min="12" max="13" width="9.140625" style="71"/>
    <col min="14" max="14" width="13.42578125" style="71" bestFit="1" customWidth="1"/>
    <col min="15" max="15" width="11" style="71" bestFit="1" customWidth="1"/>
    <col min="16" max="16" width="12.42578125" style="71" bestFit="1" customWidth="1"/>
    <col min="17" max="17" width="12.5703125" style="71" bestFit="1" customWidth="1"/>
    <col min="18" max="16384" width="9.140625" style="71"/>
  </cols>
  <sheetData>
    <row r="1" spans="1:17" ht="15" customHeight="1" x14ac:dyDescent="0.3">
      <c r="A1" s="354" t="s">
        <v>119</v>
      </c>
      <c r="B1" s="354" t="s">
        <v>120</v>
      </c>
      <c r="C1" s="354" t="s">
        <v>124</v>
      </c>
      <c r="D1" s="354" t="s">
        <v>121</v>
      </c>
      <c r="E1" s="354" t="s">
        <v>122</v>
      </c>
      <c r="F1" s="354" t="s">
        <v>123</v>
      </c>
      <c r="I1" s="354" t="s">
        <v>151</v>
      </c>
      <c r="J1" s="354"/>
      <c r="K1" s="354"/>
      <c r="L1" s="354"/>
      <c r="M1" s="354"/>
      <c r="N1" s="354"/>
      <c r="O1" s="354"/>
    </row>
    <row r="2" spans="1:17" ht="15" customHeight="1" x14ac:dyDescent="0.3">
      <c r="A2" s="354"/>
      <c r="B2" s="354"/>
      <c r="C2" s="354"/>
      <c r="D2" s="354"/>
      <c r="E2" s="354"/>
      <c r="F2" s="354"/>
      <c r="I2" s="354"/>
      <c r="J2" s="354"/>
      <c r="K2" s="354"/>
      <c r="L2" s="354"/>
      <c r="M2" s="354"/>
      <c r="N2" s="354"/>
      <c r="O2" s="354"/>
    </row>
    <row r="3" spans="1:17" x14ac:dyDescent="0.3">
      <c r="A3" s="69">
        <v>42005</v>
      </c>
      <c r="B3" s="70">
        <v>104.83000199999999</v>
      </c>
      <c r="C3" s="70">
        <v>1994.98999</v>
      </c>
      <c r="D3" s="71">
        <v>0.02</v>
      </c>
      <c r="I3" s="7" t="s">
        <v>125</v>
      </c>
      <c r="J3" s="7"/>
      <c r="K3" s="7"/>
      <c r="L3" s="7"/>
      <c r="M3" s="7"/>
      <c r="N3" s="7"/>
      <c r="O3" s="7"/>
      <c r="P3" s="7"/>
      <c r="Q3" s="7"/>
    </row>
    <row r="4" spans="1:17" ht="17.25" thickBot="1" x14ac:dyDescent="0.35">
      <c r="A4" s="69">
        <v>42036</v>
      </c>
      <c r="B4" s="70">
        <v>103.529999</v>
      </c>
      <c r="C4" s="70">
        <v>2104.5</v>
      </c>
      <c r="D4" s="71">
        <v>0.02</v>
      </c>
      <c r="E4" s="72">
        <f>((B4-B3)/B3)-$D$4</f>
        <v>-3.2401058620603572E-2</v>
      </c>
      <c r="F4" s="72">
        <f>((C4-C3)/C3)-$D$4</f>
        <v>3.4892511014553998E-2</v>
      </c>
      <c r="I4" s="7"/>
      <c r="J4" s="7"/>
      <c r="K4" s="7"/>
      <c r="L4" s="7"/>
      <c r="M4" s="7"/>
      <c r="N4" s="7"/>
      <c r="O4" s="7"/>
      <c r="P4" s="7"/>
      <c r="Q4" s="7"/>
    </row>
    <row r="5" spans="1:17" x14ac:dyDescent="0.3">
      <c r="A5" s="69">
        <v>42064</v>
      </c>
      <c r="B5" s="70">
        <v>98.129997000000003</v>
      </c>
      <c r="C5" s="70">
        <v>2067.889893</v>
      </c>
      <c r="D5" s="71">
        <v>0.02</v>
      </c>
      <c r="E5" s="72">
        <f t="shared" ref="E5:F62" si="0">((B5-B4)/B4)-$D$4</f>
        <v>-7.2158814374179606E-2</v>
      </c>
      <c r="F5" s="72">
        <f t="shared" si="0"/>
        <v>-3.7396106913756222E-2</v>
      </c>
      <c r="I5" s="73" t="s">
        <v>126</v>
      </c>
      <c r="J5" s="73"/>
      <c r="K5" s="7"/>
      <c r="L5" s="7"/>
      <c r="M5" s="7"/>
      <c r="N5" s="7"/>
      <c r="O5" s="7"/>
      <c r="P5" s="7"/>
      <c r="Q5" s="7"/>
    </row>
    <row r="6" spans="1:17" x14ac:dyDescent="0.3">
      <c r="A6" s="69">
        <v>42095</v>
      </c>
      <c r="B6" s="70">
        <v>100.510002</v>
      </c>
      <c r="C6" s="70">
        <v>2085.51001</v>
      </c>
      <c r="D6" s="71">
        <v>0.03</v>
      </c>
      <c r="E6" s="72">
        <f t="shared" si="0"/>
        <v>4.2535929151205111E-3</v>
      </c>
      <c r="F6" s="72">
        <f t="shared" si="0"/>
        <v>-1.1479180269875261E-2</v>
      </c>
      <c r="I6" s="74" t="s">
        <v>127</v>
      </c>
      <c r="J6" s="74">
        <v>0.62176117731284142</v>
      </c>
      <c r="K6" s="7"/>
      <c r="L6" s="7"/>
      <c r="M6" s="7"/>
      <c r="N6" s="7"/>
      <c r="O6" s="7"/>
      <c r="P6" s="7"/>
      <c r="Q6" s="7"/>
    </row>
    <row r="7" spans="1:17" x14ac:dyDescent="0.3">
      <c r="A7" s="69">
        <v>42125</v>
      </c>
      <c r="B7" s="70">
        <v>112.269997</v>
      </c>
      <c r="C7" s="70">
        <v>2107.389893</v>
      </c>
      <c r="D7" s="71">
        <v>0.01</v>
      </c>
      <c r="E7" s="72">
        <f t="shared" si="0"/>
        <v>9.7003231180912752E-2</v>
      </c>
      <c r="F7" s="72">
        <f t="shared" si="0"/>
        <v>-9.5086176066831434E-3</v>
      </c>
      <c r="I7" s="74" t="s">
        <v>128</v>
      </c>
      <c r="J7" s="74">
        <v>0.38658696161345069</v>
      </c>
      <c r="K7" s="7"/>
      <c r="L7" s="7"/>
      <c r="M7" s="7"/>
      <c r="N7" s="7"/>
      <c r="O7" s="7"/>
      <c r="P7" s="7"/>
      <c r="Q7" s="7"/>
    </row>
    <row r="8" spans="1:17" x14ac:dyDescent="0.3">
      <c r="A8" s="69">
        <v>42156</v>
      </c>
      <c r="B8" s="70">
        <v>117.08000199999999</v>
      </c>
      <c r="C8" s="70">
        <v>2063.110107</v>
      </c>
      <c r="D8" s="71">
        <v>0.02</v>
      </c>
      <c r="E8" s="72">
        <f t="shared" si="0"/>
        <v>2.284319166767226E-2</v>
      </c>
      <c r="F8" s="72">
        <f t="shared" si="0"/>
        <v>-4.1011672375900518E-2</v>
      </c>
      <c r="I8" s="74" t="s">
        <v>129</v>
      </c>
      <c r="J8" s="74">
        <v>0.37582532936105506</v>
      </c>
      <c r="K8" s="7"/>
      <c r="L8" s="7"/>
      <c r="M8" s="7"/>
      <c r="N8" s="7"/>
      <c r="O8" s="7"/>
      <c r="P8" s="7"/>
      <c r="Q8" s="7"/>
    </row>
    <row r="9" spans="1:17" x14ac:dyDescent="0.3">
      <c r="A9" s="69">
        <v>42186</v>
      </c>
      <c r="B9" s="70">
        <v>117.860001</v>
      </c>
      <c r="C9" s="70">
        <v>2103.8400879999999</v>
      </c>
      <c r="D9" s="71">
        <v>0.01</v>
      </c>
      <c r="E9" s="72">
        <f t="shared" si="0"/>
        <v>-1.3337897278136331E-2</v>
      </c>
      <c r="F9" s="72">
        <f t="shared" si="0"/>
        <v>-2.5797030327865539E-4</v>
      </c>
      <c r="I9" s="74" t="s">
        <v>130</v>
      </c>
      <c r="J9" s="74">
        <v>5.235289842143051E-2</v>
      </c>
      <c r="K9" s="7"/>
      <c r="L9" s="7"/>
      <c r="M9" s="7"/>
      <c r="N9" s="7"/>
      <c r="O9" s="7"/>
      <c r="P9" s="7"/>
      <c r="Q9" s="7"/>
    </row>
    <row r="10" spans="1:17" ht="17.25" thickBot="1" x14ac:dyDescent="0.35">
      <c r="A10" s="69">
        <v>42217</v>
      </c>
      <c r="B10" s="70">
        <v>105.07</v>
      </c>
      <c r="C10" s="70">
        <v>1972.1800539999999</v>
      </c>
      <c r="D10" s="71">
        <v>0.08</v>
      </c>
      <c r="E10" s="72">
        <f t="shared" si="0"/>
        <v>-0.12851858893162579</v>
      </c>
      <c r="F10" s="72">
        <f t="shared" si="0"/>
        <v>-8.2580818167202835E-2</v>
      </c>
      <c r="I10" s="75" t="s">
        <v>131</v>
      </c>
      <c r="J10" s="75">
        <v>59</v>
      </c>
      <c r="K10" s="7"/>
      <c r="L10" s="7"/>
      <c r="M10" s="7"/>
      <c r="N10" s="7"/>
      <c r="O10" s="7"/>
      <c r="P10" s="7"/>
      <c r="Q10" s="7"/>
    </row>
    <row r="11" spans="1:17" x14ac:dyDescent="0.3">
      <c r="A11" s="69">
        <v>42248</v>
      </c>
      <c r="B11" s="70">
        <v>98.190002000000007</v>
      </c>
      <c r="C11" s="70">
        <v>1920.030029</v>
      </c>
      <c r="D11" s="71">
        <v>0.03</v>
      </c>
      <c r="E11" s="72">
        <f t="shared" si="0"/>
        <v>-8.5480137051489366E-2</v>
      </c>
      <c r="F11" s="72">
        <f t="shared" si="0"/>
        <v>-4.6442831573227095E-2</v>
      </c>
      <c r="I11" s="7"/>
      <c r="J11" s="7"/>
      <c r="K11" s="7"/>
      <c r="L11" s="7"/>
      <c r="M11" s="7"/>
      <c r="N11" s="7"/>
      <c r="O11" s="7"/>
      <c r="P11" s="7"/>
      <c r="Q11" s="7"/>
    </row>
    <row r="12" spans="1:17" ht="17.25" thickBot="1" x14ac:dyDescent="0.35">
      <c r="A12" s="69">
        <v>42278</v>
      </c>
      <c r="B12" s="70">
        <v>108.129997</v>
      </c>
      <c r="C12" s="70">
        <v>2079.360107</v>
      </c>
      <c r="D12" s="71">
        <v>-0.02</v>
      </c>
      <c r="E12" s="72">
        <f t="shared" si="0"/>
        <v>8.1232251731698665E-2</v>
      </c>
      <c r="F12" s="72">
        <f t="shared" si="0"/>
        <v>6.2983117760394128E-2</v>
      </c>
      <c r="I12" s="7" t="s">
        <v>132</v>
      </c>
      <c r="J12" s="7"/>
      <c r="K12" s="7"/>
      <c r="L12" s="7"/>
      <c r="M12" s="7"/>
      <c r="N12" s="7"/>
      <c r="O12" s="7"/>
      <c r="P12" s="7"/>
      <c r="Q12" s="7"/>
    </row>
    <row r="13" spans="1:17" x14ac:dyDescent="0.3">
      <c r="A13" s="69">
        <v>42309</v>
      </c>
      <c r="B13" s="70">
        <v>105.959999</v>
      </c>
      <c r="C13" s="70">
        <v>2080.4099120000001</v>
      </c>
      <c r="D13" s="71">
        <v>0.08</v>
      </c>
      <c r="E13" s="72">
        <f t="shared" si="0"/>
        <v>-4.006841820221272E-2</v>
      </c>
      <c r="F13" s="72">
        <f t="shared" si="0"/>
        <v>-1.9495130739275984E-2</v>
      </c>
      <c r="I13" s="76"/>
      <c r="J13" s="76" t="s">
        <v>137</v>
      </c>
      <c r="K13" s="76" t="s">
        <v>138</v>
      </c>
      <c r="L13" s="76" t="s">
        <v>139</v>
      </c>
      <c r="M13" s="76" t="s">
        <v>140</v>
      </c>
      <c r="N13" s="76" t="s">
        <v>141</v>
      </c>
      <c r="O13" s="7"/>
      <c r="P13" s="7"/>
      <c r="Q13" s="7"/>
    </row>
    <row r="14" spans="1:17" x14ac:dyDescent="0.3">
      <c r="A14" s="69">
        <v>42339</v>
      </c>
      <c r="B14" s="70">
        <v>101.19000200000001</v>
      </c>
      <c r="C14" s="70">
        <v>2043.9399410000001</v>
      </c>
      <c r="D14" s="71">
        <v>0.21</v>
      </c>
      <c r="E14" s="72">
        <f t="shared" si="0"/>
        <v>-6.5016959654746589E-2</v>
      </c>
      <c r="F14" s="72">
        <f t="shared" si="0"/>
        <v>-3.7530185176314415E-2</v>
      </c>
      <c r="I14" s="74" t="s">
        <v>133</v>
      </c>
      <c r="J14" s="74">
        <v>1</v>
      </c>
      <c r="K14" s="74">
        <v>9.8457888209812272E-2</v>
      </c>
      <c r="L14" s="74">
        <v>9.8457888209812272E-2</v>
      </c>
      <c r="M14" s="74">
        <v>35.922706941355862</v>
      </c>
      <c r="N14" s="74">
        <v>1.4737699702248587E-7</v>
      </c>
      <c r="O14" s="7"/>
      <c r="P14" s="7"/>
      <c r="Q14" s="7"/>
    </row>
    <row r="15" spans="1:17" x14ac:dyDescent="0.3">
      <c r="A15" s="69">
        <v>42370</v>
      </c>
      <c r="B15" s="70">
        <v>83</v>
      </c>
      <c r="C15" s="70">
        <v>1940.23999</v>
      </c>
      <c r="D15" s="70">
        <v>0</v>
      </c>
      <c r="E15" s="72">
        <f t="shared" si="0"/>
        <v>-0.19976086214525426</v>
      </c>
      <c r="F15" s="72">
        <f t="shared" si="0"/>
        <v>-7.0735321972946394E-2</v>
      </c>
      <c r="I15" s="74" t="s">
        <v>134</v>
      </c>
      <c r="J15" s="74">
        <v>57</v>
      </c>
      <c r="K15" s="74">
        <v>0.15622708046810341</v>
      </c>
      <c r="L15" s="74">
        <v>2.7408259731246214E-3</v>
      </c>
      <c r="M15" s="74"/>
      <c r="N15" s="74"/>
      <c r="O15" s="7"/>
      <c r="P15" s="7"/>
      <c r="Q15" s="7"/>
    </row>
    <row r="16" spans="1:17" ht="17.25" thickBot="1" x14ac:dyDescent="0.35">
      <c r="A16" s="69">
        <v>42401</v>
      </c>
      <c r="B16" s="70">
        <v>87.25</v>
      </c>
      <c r="C16" s="70">
        <v>1932.2299800000001</v>
      </c>
      <c r="D16" s="71">
        <v>0.35</v>
      </c>
      <c r="E16" s="72">
        <f t="shared" si="0"/>
        <v>3.1204819277108432E-2</v>
      </c>
      <c r="F16" s="72">
        <f t="shared" si="0"/>
        <v>-2.4128360430299124E-2</v>
      </c>
      <c r="I16" s="75" t="s">
        <v>135</v>
      </c>
      <c r="J16" s="75">
        <v>58</v>
      </c>
      <c r="K16" s="75">
        <v>0.25468496867791568</v>
      </c>
      <c r="L16" s="75"/>
      <c r="M16" s="75"/>
      <c r="N16" s="75"/>
      <c r="O16" s="7"/>
      <c r="P16" s="7"/>
      <c r="Q16" s="7"/>
    </row>
    <row r="17" spans="1:17" ht="17.25" thickBot="1" x14ac:dyDescent="0.35">
      <c r="A17" s="69">
        <v>42430</v>
      </c>
      <c r="B17" s="70">
        <v>91.860000999999997</v>
      </c>
      <c r="C17" s="70">
        <v>2059.73999</v>
      </c>
      <c r="D17" s="71">
        <v>0.33</v>
      </c>
      <c r="E17" s="72">
        <f t="shared" si="0"/>
        <v>3.2836687679083057E-2</v>
      </c>
      <c r="F17" s="72">
        <f t="shared" si="0"/>
        <v>4.5991114577365141E-2</v>
      </c>
      <c r="I17" s="7"/>
      <c r="J17" s="7"/>
      <c r="K17" s="7"/>
      <c r="L17" s="7"/>
      <c r="M17" s="7"/>
      <c r="N17" s="7"/>
      <c r="O17" s="7"/>
      <c r="P17" s="7"/>
      <c r="Q17" s="7"/>
    </row>
    <row r="18" spans="1:17" x14ac:dyDescent="0.3">
      <c r="A18" s="69">
        <v>42461</v>
      </c>
      <c r="B18" s="70">
        <v>88.209998999999996</v>
      </c>
      <c r="C18" s="70">
        <v>2065.3000489999999</v>
      </c>
      <c r="D18" s="71">
        <v>0.23</v>
      </c>
      <c r="E18" s="72">
        <f t="shared" si="0"/>
        <v>-5.9734399741624228E-2</v>
      </c>
      <c r="F18" s="72">
        <f t="shared" si="0"/>
        <v>-1.7300601519126737E-2</v>
      </c>
      <c r="I18" s="76"/>
      <c r="J18" s="76" t="s">
        <v>142</v>
      </c>
      <c r="K18" s="76" t="s">
        <v>130</v>
      </c>
      <c r="L18" s="76" t="s">
        <v>143</v>
      </c>
      <c r="M18" s="76" t="s">
        <v>144</v>
      </c>
      <c r="N18" s="76" t="s">
        <v>145</v>
      </c>
      <c r="O18" s="76" t="s">
        <v>146</v>
      </c>
      <c r="P18" s="76" t="s">
        <v>147</v>
      </c>
      <c r="Q18" s="76" t="s">
        <v>148</v>
      </c>
    </row>
    <row r="19" spans="1:17" x14ac:dyDescent="0.3">
      <c r="A19" s="69">
        <v>42491</v>
      </c>
      <c r="B19" s="70">
        <v>87.059997999999993</v>
      </c>
      <c r="C19" s="70">
        <v>2096.9499510000001</v>
      </c>
      <c r="D19" s="71">
        <v>0.22</v>
      </c>
      <c r="E19" s="72">
        <f t="shared" si="0"/>
        <v>-3.3037082111292207E-2</v>
      </c>
      <c r="F19" s="72">
        <f t="shared" si="0"/>
        <v>-4.6753976424274458E-3</v>
      </c>
      <c r="I19" s="74" t="s">
        <v>136</v>
      </c>
      <c r="J19" s="74">
        <v>-1.2545169717321489E-2</v>
      </c>
      <c r="K19" s="74">
        <v>7.1714614401416788E-3</v>
      </c>
      <c r="L19" s="74">
        <v>-1.7493184369786763</v>
      </c>
      <c r="M19" s="74">
        <v>8.5618626117593216E-2</v>
      </c>
      <c r="N19" s="74">
        <v>-2.6905773543842538E-2</v>
      </c>
      <c r="O19" s="74">
        <v>1.8154341091995603E-3</v>
      </c>
      <c r="P19" s="74">
        <v>-2.6905773543842538E-2</v>
      </c>
      <c r="Q19" s="74">
        <v>1.8154341091995603E-3</v>
      </c>
    </row>
    <row r="20" spans="1:17" ht="17.25" thickBot="1" x14ac:dyDescent="0.35">
      <c r="A20" s="69">
        <v>42522</v>
      </c>
      <c r="B20" s="70">
        <v>83.419998000000007</v>
      </c>
      <c r="C20" s="70">
        <v>2098.860107</v>
      </c>
      <c r="D20" s="71">
        <v>0.3</v>
      </c>
      <c r="E20" s="72">
        <f t="shared" si="0"/>
        <v>-6.1810246767981622E-2</v>
      </c>
      <c r="F20" s="72">
        <f t="shared" si="0"/>
        <v>-1.9089078879021889E-2</v>
      </c>
      <c r="I20" s="75" t="s">
        <v>149</v>
      </c>
      <c r="J20" s="77">
        <v>1.1929637830713289</v>
      </c>
      <c r="K20" s="75">
        <v>0.19904108552457103</v>
      </c>
      <c r="L20" s="75">
        <v>5.993555450761753</v>
      </c>
      <c r="M20" s="75">
        <v>1.4737699702248266E-7</v>
      </c>
      <c r="N20" s="75">
        <v>0.79439088432858829</v>
      </c>
      <c r="O20" s="75">
        <v>1.5915366818140695</v>
      </c>
      <c r="P20" s="75">
        <v>0.79439088432858829</v>
      </c>
      <c r="Q20" s="75">
        <v>1.5915366818140695</v>
      </c>
    </row>
    <row r="21" spans="1:17" x14ac:dyDescent="0.3">
      <c r="A21" s="69">
        <v>42552</v>
      </c>
      <c r="B21" s="70">
        <v>79.470000999999996</v>
      </c>
      <c r="C21" s="70">
        <v>2173.6000979999999</v>
      </c>
      <c r="D21" s="71">
        <v>0.27</v>
      </c>
      <c r="E21" s="72">
        <f t="shared" si="0"/>
        <v>-6.7350720387214708E-2</v>
      </c>
      <c r="F21" s="72">
        <f t="shared" si="0"/>
        <v>1.5609801125254282E-2</v>
      </c>
      <c r="I21" s="74" t="s">
        <v>150</v>
      </c>
      <c r="J21" s="78">
        <f>SLOPE(E4:E62,F4:F62)</f>
        <v>1.1929637830713282</v>
      </c>
      <c r="K21" s="7"/>
      <c r="L21" s="7"/>
      <c r="M21" s="7"/>
      <c r="N21" s="7"/>
      <c r="O21" s="7"/>
      <c r="P21" s="7"/>
      <c r="Q21" s="7"/>
    </row>
    <row r="22" spans="1:17" x14ac:dyDescent="0.3">
      <c r="A22" s="69">
        <v>42583</v>
      </c>
      <c r="B22" s="70">
        <v>78.379997000000003</v>
      </c>
      <c r="C22" s="70">
        <v>2170.9499510000001</v>
      </c>
      <c r="D22" s="71">
        <v>0.28999999999999998</v>
      </c>
      <c r="E22" s="72">
        <f t="shared" si="0"/>
        <v>-3.3715917783869079E-2</v>
      </c>
      <c r="F22" s="72">
        <f t="shared" si="0"/>
        <v>-2.1219243136048033E-2</v>
      </c>
      <c r="I22" s="7"/>
      <c r="J22" s="7"/>
      <c r="K22" s="7"/>
      <c r="L22" s="7"/>
      <c r="M22" s="7"/>
      <c r="N22" s="7"/>
      <c r="O22" s="7"/>
      <c r="P22" s="7"/>
      <c r="Q22" s="7"/>
    </row>
    <row r="23" spans="1:17" x14ac:dyDescent="0.3">
      <c r="A23" s="69">
        <v>42614</v>
      </c>
      <c r="B23" s="70">
        <v>79.120002999999997</v>
      </c>
      <c r="C23" s="70">
        <v>2168.2700199999999</v>
      </c>
      <c r="D23" s="71">
        <v>0.33</v>
      </c>
      <c r="E23" s="72">
        <f t="shared" si="0"/>
        <v>-1.0558739112990857E-2</v>
      </c>
      <c r="F23" s="72">
        <f t="shared" si="0"/>
        <v>-2.1234450844325396E-2</v>
      </c>
      <c r="I23" s="7"/>
      <c r="J23" s="7"/>
      <c r="K23" s="7"/>
      <c r="L23" s="7"/>
      <c r="M23" s="7"/>
      <c r="N23" s="7"/>
      <c r="O23" s="7"/>
      <c r="P23" s="7"/>
      <c r="Q23" s="7"/>
    </row>
    <row r="24" spans="1:17" x14ac:dyDescent="0.3">
      <c r="A24" s="69">
        <v>42644</v>
      </c>
      <c r="B24" s="70">
        <v>73.629997000000003</v>
      </c>
      <c r="C24" s="70">
        <v>2126.1499020000001</v>
      </c>
      <c r="D24" s="71">
        <v>0.32</v>
      </c>
      <c r="E24" s="72">
        <f t="shared" si="0"/>
        <v>-8.9388344183960591E-2</v>
      </c>
      <c r="F24" s="72">
        <f t="shared" si="0"/>
        <v>-3.9425679279557549E-2</v>
      </c>
    </row>
    <row r="25" spans="1:17" x14ac:dyDescent="0.3">
      <c r="A25" s="69">
        <v>42675</v>
      </c>
      <c r="B25" s="70">
        <v>73.699996999999996</v>
      </c>
      <c r="C25" s="70">
        <v>2198.8100589999999</v>
      </c>
      <c r="D25" s="71">
        <v>0.35</v>
      </c>
      <c r="E25" s="72">
        <f t="shared" si="0"/>
        <v>-1.9049300518102788E-2</v>
      </c>
      <c r="F25" s="72">
        <f t="shared" si="0"/>
        <v>1.4174522187570478E-2</v>
      </c>
    </row>
    <row r="26" spans="1:17" x14ac:dyDescent="0.3">
      <c r="A26" s="69">
        <v>42705</v>
      </c>
      <c r="B26" s="70">
        <v>71.610000999999997</v>
      </c>
      <c r="C26" s="70">
        <v>2238.830078</v>
      </c>
      <c r="D26" s="71">
        <v>0.47</v>
      </c>
      <c r="E26" s="72">
        <f t="shared" si="0"/>
        <v>-4.8358155835474453E-2</v>
      </c>
      <c r="F26" s="72">
        <f t="shared" si="0"/>
        <v>-1.7992378031048244E-3</v>
      </c>
    </row>
    <row r="27" spans="1:17" x14ac:dyDescent="0.3">
      <c r="A27" s="69">
        <v>42736</v>
      </c>
      <c r="B27" s="70">
        <v>72.449996999999996</v>
      </c>
      <c r="C27" s="70">
        <v>2278.8701169999999</v>
      </c>
      <c r="D27" s="71">
        <v>0</v>
      </c>
      <c r="E27" s="72">
        <f t="shared" si="0"/>
        <v>-8.2698507433340302E-3</v>
      </c>
      <c r="F27" s="72">
        <f t="shared" si="0"/>
        <v>-2.1156418285354223E-3</v>
      </c>
    </row>
    <row r="28" spans="1:17" x14ac:dyDescent="0.3">
      <c r="A28" s="69">
        <v>42767</v>
      </c>
      <c r="B28" s="70">
        <v>70.480002999999996</v>
      </c>
      <c r="C28" s="70">
        <v>2363.639893</v>
      </c>
      <c r="D28" s="71">
        <v>0.5</v>
      </c>
      <c r="E28" s="72">
        <f t="shared" si="0"/>
        <v>-4.7191084631790947E-2</v>
      </c>
      <c r="F28" s="72">
        <f t="shared" si="0"/>
        <v>1.719816033727915E-2</v>
      </c>
    </row>
    <row r="29" spans="1:17" x14ac:dyDescent="0.3">
      <c r="A29" s="69">
        <v>42795</v>
      </c>
      <c r="B29" s="70">
        <v>67.919998000000007</v>
      </c>
      <c r="C29" s="70">
        <v>2362.719971</v>
      </c>
      <c r="D29" s="71">
        <v>0.62</v>
      </c>
      <c r="E29" s="72">
        <f t="shared" si="0"/>
        <v>-5.6322430349499131E-2</v>
      </c>
      <c r="F29" s="72">
        <f t="shared" si="0"/>
        <v>-2.0389197188084539E-2</v>
      </c>
    </row>
    <row r="30" spans="1:17" x14ac:dyDescent="0.3">
      <c r="A30" s="69">
        <v>42826</v>
      </c>
      <c r="B30" s="70">
        <v>68.550003000000004</v>
      </c>
      <c r="C30" s="70">
        <v>2384.1999510000001</v>
      </c>
      <c r="D30" s="71">
        <v>0.78</v>
      </c>
      <c r="E30" s="72">
        <f t="shared" si="0"/>
        <v>-1.0724307736287081E-2</v>
      </c>
      <c r="F30" s="72">
        <f t="shared" si="0"/>
        <v>-1.0908791450681792E-2</v>
      </c>
    </row>
    <row r="31" spans="1:17" x14ac:dyDescent="0.3">
      <c r="A31" s="69">
        <v>42856</v>
      </c>
      <c r="B31" s="70">
        <v>64.889999000000003</v>
      </c>
      <c r="C31" s="70">
        <v>2411.8000489999999</v>
      </c>
      <c r="D31" s="71">
        <v>0.82</v>
      </c>
      <c r="E31" s="72">
        <f t="shared" si="0"/>
        <v>-7.3391740916481082E-2</v>
      </c>
      <c r="F31" s="72">
        <f t="shared" si="0"/>
        <v>-8.4237486086585836E-3</v>
      </c>
    </row>
    <row r="32" spans="1:17" x14ac:dyDescent="0.3">
      <c r="A32" s="69">
        <v>42887</v>
      </c>
      <c r="B32" s="70">
        <v>70.779999000000004</v>
      </c>
      <c r="C32" s="70">
        <v>2423.4099120000001</v>
      </c>
      <c r="D32" s="71">
        <v>0.96</v>
      </c>
      <c r="E32" s="72">
        <f t="shared" si="0"/>
        <v>7.0768995080428346E-2</v>
      </c>
      <c r="F32" s="72">
        <f t="shared" si="0"/>
        <v>-1.518622490914456E-2</v>
      </c>
    </row>
    <row r="33" spans="1:6" x14ac:dyDescent="0.3">
      <c r="A33" s="69">
        <v>42917</v>
      </c>
      <c r="B33" s="70">
        <v>76.089995999999999</v>
      </c>
      <c r="C33" s="70">
        <v>2470.3000489999999</v>
      </c>
      <c r="D33" s="71">
        <v>1.04</v>
      </c>
      <c r="E33" s="72">
        <f t="shared" si="0"/>
        <v>5.5021151102304974E-2</v>
      </c>
      <c r="F33" s="72">
        <f t="shared" si="0"/>
        <v>-6.5117388196938783E-4</v>
      </c>
    </row>
    <row r="34" spans="1:6" x14ac:dyDescent="0.3">
      <c r="A34" s="69">
        <v>42948</v>
      </c>
      <c r="B34" s="70">
        <v>83.709998999999996</v>
      </c>
      <c r="C34" s="70">
        <v>2471.6499020000001</v>
      </c>
      <c r="D34" s="71">
        <v>1.06</v>
      </c>
      <c r="E34" s="72">
        <f t="shared" si="0"/>
        <v>8.0144610337474539E-2</v>
      </c>
      <c r="F34" s="72">
        <f t="shared" si="0"/>
        <v>-1.945356718891432E-2</v>
      </c>
    </row>
    <row r="35" spans="1:6" x14ac:dyDescent="0.3">
      <c r="A35" s="69">
        <v>42979</v>
      </c>
      <c r="B35" s="70">
        <v>81.019997000000004</v>
      </c>
      <c r="C35" s="70">
        <v>2519.360107</v>
      </c>
      <c r="D35" s="71">
        <v>1</v>
      </c>
      <c r="E35" s="72">
        <f t="shared" si="0"/>
        <v>-5.2134775201705508E-2</v>
      </c>
      <c r="F35" s="72">
        <f t="shared" si="0"/>
        <v>-6.9702146675631668E-4</v>
      </c>
    </row>
    <row r="36" spans="1:6" x14ac:dyDescent="0.3">
      <c r="A36" s="69">
        <v>43009</v>
      </c>
      <c r="B36" s="70">
        <v>74.959998999999996</v>
      </c>
      <c r="C36" s="70">
        <v>2575.26001</v>
      </c>
      <c r="D36" s="71">
        <v>1</v>
      </c>
      <c r="E36" s="72">
        <f t="shared" si="0"/>
        <v>-9.4796324665378684E-2</v>
      </c>
      <c r="F36" s="72">
        <f t="shared" si="0"/>
        <v>2.1881353303495783E-3</v>
      </c>
    </row>
    <row r="37" spans="1:6" x14ac:dyDescent="0.3">
      <c r="A37" s="69">
        <v>43040</v>
      </c>
      <c r="B37" s="70">
        <v>74.779999000000004</v>
      </c>
      <c r="C37" s="70">
        <v>2584.8400879999999</v>
      </c>
      <c r="D37" s="71">
        <v>1.1599999999999999</v>
      </c>
      <c r="E37" s="72">
        <f t="shared" si="0"/>
        <v>-2.2401280715065013E-2</v>
      </c>
      <c r="F37" s="72">
        <f t="shared" si="0"/>
        <v>-1.6279956989663363E-2</v>
      </c>
    </row>
    <row r="38" spans="1:6" x14ac:dyDescent="0.3">
      <c r="A38" s="69">
        <v>43070</v>
      </c>
      <c r="B38" s="70">
        <v>71.639999000000003</v>
      </c>
      <c r="C38" s="70">
        <v>2673.610107</v>
      </c>
      <c r="D38" s="71">
        <v>1.25</v>
      </c>
      <c r="E38" s="72">
        <f t="shared" si="0"/>
        <v>-6.1989837416285609E-2</v>
      </c>
      <c r="F38" s="72">
        <f t="shared" si="0"/>
        <v>1.4342557364422946E-2</v>
      </c>
    </row>
    <row r="39" spans="1:6" x14ac:dyDescent="0.3">
      <c r="A39" s="69">
        <v>43101</v>
      </c>
      <c r="B39" s="70">
        <v>83.800003000000004</v>
      </c>
      <c r="C39" s="70">
        <v>2823.8100589999999</v>
      </c>
      <c r="D39" s="71">
        <v>0</v>
      </c>
      <c r="E39" s="72">
        <f t="shared" si="0"/>
        <v>0.1497376349767956</v>
      </c>
      <c r="F39" s="72">
        <f t="shared" si="0"/>
        <v>3.6178704444133056E-2</v>
      </c>
    </row>
    <row r="40" spans="1:6" x14ac:dyDescent="0.3">
      <c r="A40" s="69">
        <v>43132</v>
      </c>
      <c r="B40" s="70">
        <v>78.730002999999996</v>
      </c>
      <c r="C40" s="70">
        <v>2713.830078</v>
      </c>
      <c r="D40" s="71">
        <v>1.46</v>
      </c>
      <c r="E40" s="72">
        <f t="shared" si="0"/>
        <v>-8.050119115150875E-2</v>
      </c>
      <c r="F40" s="72">
        <f t="shared" si="0"/>
        <v>-5.8947372061896874E-2</v>
      </c>
    </row>
    <row r="41" spans="1:6" x14ac:dyDescent="0.3">
      <c r="A41" s="69">
        <v>43160</v>
      </c>
      <c r="B41" s="70">
        <v>75.389999000000003</v>
      </c>
      <c r="C41" s="70">
        <v>2640.8701169999999</v>
      </c>
      <c r="D41" s="71">
        <v>1.6</v>
      </c>
      <c r="E41" s="72">
        <f t="shared" si="0"/>
        <v>-6.242352181797825E-2</v>
      </c>
      <c r="F41" s="72">
        <f t="shared" si="0"/>
        <v>-4.6884498624825112E-2</v>
      </c>
    </row>
    <row r="42" spans="1:6" x14ac:dyDescent="0.3">
      <c r="A42" s="69">
        <v>43191</v>
      </c>
      <c r="B42" s="70">
        <v>72.230002999999996</v>
      </c>
      <c r="C42" s="70">
        <v>2648.0500489999999</v>
      </c>
      <c r="D42" s="71">
        <v>1.74</v>
      </c>
      <c r="E42" s="72">
        <f t="shared" si="0"/>
        <v>-6.1915320890241779E-2</v>
      </c>
      <c r="F42" s="72">
        <f t="shared" si="0"/>
        <v>-1.728122486835652E-2</v>
      </c>
    </row>
    <row r="43" spans="1:6" x14ac:dyDescent="0.3">
      <c r="A43" s="69">
        <v>43221</v>
      </c>
      <c r="B43" s="70">
        <v>67.400002000000001</v>
      </c>
      <c r="C43" s="70">
        <v>2705.2700199999999</v>
      </c>
      <c r="D43" s="71">
        <v>1.82</v>
      </c>
      <c r="E43" s="72">
        <f t="shared" si="0"/>
        <v>-8.6869732789572177E-2</v>
      </c>
      <c r="F43" s="72">
        <f t="shared" si="0"/>
        <v>1.6083419652919047E-3</v>
      </c>
    </row>
    <row r="44" spans="1:6" x14ac:dyDescent="0.3">
      <c r="A44" s="69">
        <v>43252</v>
      </c>
      <c r="B44" s="70">
        <v>70.839995999999999</v>
      </c>
      <c r="C44" s="70">
        <v>2718.3701169999999</v>
      </c>
      <c r="D44" s="71">
        <v>1.88</v>
      </c>
      <c r="E44" s="72">
        <f t="shared" si="0"/>
        <v>3.1038485132389142E-2</v>
      </c>
      <c r="F44" s="72">
        <f t="shared" si="0"/>
        <v>-1.5157563975813399E-2</v>
      </c>
    </row>
    <row r="45" spans="1:6" x14ac:dyDescent="0.3">
      <c r="A45" s="69">
        <v>43282</v>
      </c>
      <c r="B45" s="70">
        <v>77.830001999999993</v>
      </c>
      <c r="C45" s="70">
        <v>2816.290039</v>
      </c>
      <c r="D45" s="71">
        <v>1.95</v>
      </c>
      <c r="E45" s="72">
        <f t="shared" si="0"/>
        <v>7.8673156333887898E-2</v>
      </c>
      <c r="F45" s="72">
        <f t="shared" si="0"/>
        <v>1.6021556221367205E-2</v>
      </c>
    </row>
    <row r="46" spans="1:6" x14ac:dyDescent="0.3">
      <c r="A46" s="69">
        <v>43313</v>
      </c>
      <c r="B46" s="70">
        <v>75.730002999999996</v>
      </c>
      <c r="C46" s="70">
        <v>2901.5200199999999</v>
      </c>
      <c r="D46" s="71">
        <v>1.99</v>
      </c>
      <c r="E46" s="72">
        <f t="shared" si="0"/>
        <v>-4.698187005057506E-2</v>
      </c>
      <c r="F46" s="72">
        <f t="shared" si="0"/>
        <v>1.0263211466054526E-2</v>
      </c>
    </row>
    <row r="47" spans="1:6" x14ac:dyDescent="0.3">
      <c r="A47" s="69">
        <v>43344</v>
      </c>
      <c r="B47" s="70">
        <v>77.209998999999996</v>
      </c>
      <c r="C47" s="70">
        <v>2913.9799800000001</v>
      </c>
      <c r="D47" s="71">
        <v>0</v>
      </c>
      <c r="E47" s="72">
        <f t="shared" si="0"/>
        <v>-4.5693990002879104E-4</v>
      </c>
      <c r="F47" s="72">
        <f t="shared" si="0"/>
        <v>-1.5705712897338499E-2</v>
      </c>
    </row>
    <row r="48" spans="1:6" x14ac:dyDescent="0.3">
      <c r="A48" s="69">
        <v>43374</v>
      </c>
      <c r="B48" s="70">
        <v>68.180000000000007</v>
      </c>
      <c r="C48" s="70">
        <v>2711.73999</v>
      </c>
      <c r="D48" s="71">
        <v>2.19</v>
      </c>
      <c r="E48" s="72">
        <f t="shared" si="0"/>
        <v>-0.13695375102906024</v>
      </c>
      <c r="F48" s="72">
        <f t="shared" si="0"/>
        <v>-8.9403356024429531E-2</v>
      </c>
    </row>
    <row r="49" spans="1:6" x14ac:dyDescent="0.3">
      <c r="A49" s="69">
        <v>43405</v>
      </c>
      <c r="B49" s="70">
        <v>71.940002000000007</v>
      </c>
      <c r="C49" s="70">
        <v>2760.169922</v>
      </c>
      <c r="D49" s="71">
        <v>2.27</v>
      </c>
      <c r="E49" s="72">
        <f t="shared" si="0"/>
        <v>3.5148166617776463E-2</v>
      </c>
      <c r="F49" s="72">
        <f t="shared" si="0"/>
        <v>-2.1406432111509312E-3</v>
      </c>
    </row>
    <row r="50" spans="1:6" x14ac:dyDescent="0.3">
      <c r="A50" s="69">
        <v>43435</v>
      </c>
      <c r="B50" s="70">
        <v>62.549999</v>
      </c>
      <c r="C50" s="70">
        <v>2506.8500979999999</v>
      </c>
      <c r="D50" s="71">
        <v>2.34</v>
      </c>
      <c r="E50" s="72">
        <f t="shared" si="0"/>
        <v>-0.15052547593757373</v>
      </c>
      <c r="F50" s="72">
        <f t="shared" si="0"/>
        <v>-0.11177689459656395</v>
      </c>
    </row>
    <row r="51" spans="1:6" x14ac:dyDescent="0.3">
      <c r="A51" s="69">
        <v>43466</v>
      </c>
      <c r="B51" s="70">
        <v>70.010002</v>
      </c>
      <c r="C51" s="70">
        <v>2704.1000979999999</v>
      </c>
      <c r="D51" s="71">
        <v>0</v>
      </c>
      <c r="E51" s="72">
        <f t="shared" si="0"/>
        <v>9.9264638197676072E-2</v>
      </c>
      <c r="F51" s="72">
        <f t="shared" si="0"/>
        <v>5.8684401655036661E-2</v>
      </c>
    </row>
    <row r="52" spans="1:6" x14ac:dyDescent="0.3">
      <c r="A52" s="69">
        <v>43497</v>
      </c>
      <c r="B52" s="70">
        <v>65.019997000000004</v>
      </c>
      <c r="C52" s="70">
        <v>2784.48999</v>
      </c>
      <c r="D52" s="71">
        <v>2.35</v>
      </c>
      <c r="E52" s="72">
        <f t="shared" si="0"/>
        <v>-9.127560144906148E-2</v>
      </c>
      <c r="F52" s="72">
        <f t="shared" si="0"/>
        <v>9.7288891263522109E-3</v>
      </c>
    </row>
    <row r="53" spans="1:6" x14ac:dyDescent="0.3">
      <c r="A53" s="69">
        <v>43525</v>
      </c>
      <c r="B53" s="70">
        <v>65.010002</v>
      </c>
      <c r="C53" s="70">
        <v>2834.3999020000001</v>
      </c>
      <c r="D53" s="71">
        <v>2.39</v>
      </c>
      <c r="E53" s="72">
        <f t="shared" si="0"/>
        <v>-2.015372193880605E-2</v>
      </c>
      <c r="F53" s="72">
        <f t="shared" si="0"/>
        <v>-2.075743788182885E-3</v>
      </c>
    </row>
    <row r="54" spans="1:6" x14ac:dyDescent="0.3">
      <c r="A54" s="69">
        <v>43556</v>
      </c>
      <c r="B54" s="70">
        <v>65.040001000000004</v>
      </c>
      <c r="C54" s="70">
        <v>2945.830078</v>
      </c>
      <c r="D54" s="71">
        <v>2.38</v>
      </c>
      <c r="E54" s="72">
        <f t="shared" si="0"/>
        <v>-1.9538547929901562E-2</v>
      </c>
      <c r="F54" s="72">
        <f t="shared" si="0"/>
        <v>1.9313498395682572E-2</v>
      </c>
    </row>
    <row r="55" spans="1:6" x14ac:dyDescent="0.3">
      <c r="A55" s="69">
        <v>43586</v>
      </c>
      <c r="B55" s="70">
        <v>62.25</v>
      </c>
      <c r="C55" s="70">
        <v>2752.0600589999999</v>
      </c>
      <c r="D55" s="71">
        <v>2.38</v>
      </c>
      <c r="E55" s="72">
        <f t="shared" si="0"/>
        <v>-6.2896693682400209E-2</v>
      </c>
      <c r="F55" s="72">
        <f t="shared" si="0"/>
        <v>-8.5777731189286902E-2</v>
      </c>
    </row>
    <row r="56" spans="1:6" x14ac:dyDescent="0.3">
      <c r="A56" s="69">
        <v>43617</v>
      </c>
      <c r="B56" s="70">
        <v>67.559997999999993</v>
      </c>
      <c r="C56" s="70">
        <v>2941.76001</v>
      </c>
      <c r="D56" s="71">
        <v>2.2999999999999998</v>
      </c>
      <c r="E56" s="72">
        <f t="shared" si="0"/>
        <v>6.5301172690762938E-2</v>
      </c>
      <c r="F56" s="72">
        <f t="shared" si="0"/>
        <v>4.8930163925612224E-2</v>
      </c>
    </row>
    <row r="57" spans="1:6" x14ac:dyDescent="0.3">
      <c r="A57" s="69">
        <v>43647</v>
      </c>
      <c r="B57" s="70">
        <v>65.519997000000004</v>
      </c>
      <c r="C57" s="70">
        <v>2980.3798830000001</v>
      </c>
      <c r="D57" s="71">
        <v>2.16</v>
      </c>
      <c r="E57" s="72">
        <f t="shared" si="0"/>
        <v>-5.0195397578312387E-2</v>
      </c>
      <c r="F57" s="72">
        <f t="shared" si="0"/>
        <v>-6.8718478500222405E-3</v>
      </c>
    </row>
    <row r="58" spans="1:6" x14ac:dyDescent="0.3">
      <c r="A58" s="69">
        <v>43678</v>
      </c>
      <c r="B58" s="70">
        <v>63.540000999999997</v>
      </c>
      <c r="C58" s="70">
        <v>2926.459961</v>
      </c>
      <c r="D58" s="71">
        <v>2.0299999999999998</v>
      </c>
      <c r="E58" s="72">
        <f t="shared" si="0"/>
        <v>-5.0219720553406115E-2</v>
      </c>
      <c r="F58" s="72">
        <f t="shared" si="0"/>
        <v>-3.8091627281326687E-2</v>
      </c>
    </row>
    <row r="59" spans="1:6" x14ac:dyDescent="0.3">
      <c r="A59" s="69">
        <v>43709</v>
      </c>
      <c r="B59" s="70">
        <v>63.380001</v>
      </c>
      <c r="C59" s="70">
        <v>2976.73999</v>
      </c>
      <c r="D59" s="71">
        <v>0</v>
      </c>
      <c r="E59" s="72">
        <f t="shared" si="0"/>
        <v>-2.2518098795749099E-2</v>
      </c>
      <c r="F59" s="72">
        <f t="shared" si="0"/>
        <v>-2.8188221707913484E-3</v>
      </c>
    </row>
    <row r="60" spans="1:6" x14ac:dyDescent="0.3">
      <c r="A60" s="69">
        <v>43739</v>
      </c>
      <c r="B60" s="70">
        <v>63.709999000000003</v>
      </c>
      <c r="C60" s="70">
        <v>3037.5600589999999</v>
      </c>
      <c r="D60" s="71">
        <v>1.78</v>
      </c>
      <c r="E60" s="72">
        <f t="shared" si="0"/>
        <v>-1.4793341830335356E-2</v>
      </c>
      <c r="F60" s="72">
        <f t="shared" si="0"/>
        <v>4.3177073050302758E-4</v>
      </c>
    </row>
    <row r="61" spans="1:6" x14ac:dyDescent="0.3">
      <c r="A61" s="69">
        <v>43770</v>
      </c>
      <c r="B61" s="70">
        <v>67.239998</v>
      </c>
      <c r="C61" s="70">
        <v>3140.9799800000001</v>
      </c>
      <c r="D61" s="71">
        <v>1.49</v>
      </c>
      <c r="E61" s="72">
        <f t="shared" si="0"/>
        <v>3.5407299566901515E-2</v>
      </c>
      <c r="F61" s="72">
        <f t="shared" si="0"/>
        <v>1.4047037421886299E-2</v>
      </c>
    </row>
    <row r="62" spans="1:6" x14ac:dyDescent="0.3">
      <c r="A62" s="69">
        <v>43800</v>
      </c>
      <c r="B62" s="70">
        <v>64.980002999999996</v>
      </c>
      <c r="C62" s="70">
        <v>3230.780029</v>
      </c>
      <c r="D62" s="71">
        <v>1.57</v>
      </c>
      <c r="E62" s="72">
        <f t="shared" si="0"/>
        <v>-5.3610872504785079E-2</v>
      </c>
      <c r="F62" s="72">
        <f t="shared" si="0"/>
        <v>8.5898189647168471E-3</v>
      </c>
    </row>
  </sheetData>
  <mergeCells count="7">
    <mergeCell ref="I1:O2"/>
    <mergeCell ref="A1:A2"/>
    <mergeCell ref="B1:B2"/>
    <mergeCell ref="C1:C2"/>
    <mergeCell ref="D1:D2"/>
    <mergeCell ref="E1:E2"/>
    <mergeCell ref="F1:F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46780-DB9D-4175-B133-964CBF110BE8}">
  <sheetPr codeName="Sheet9"/>
  <dimension ref="A1:AI36"/>
  <sheetViews>
    <sheetView showGridLines="0" tabSelected="1" zoomScaleNormal="100" workbookViewId="0">
      <pane ySplit="1" topLeftCell="A2" activePane="bottomLeft" state="frozen"/>
      <selection pane="bottomLeft" activeCell="F7" sqref="F7"/>
    </sheetView>
  </sheetViews>
  <sheetFormatPr defaultColWidth="9.140625" defaultRowHeight="16.5" x14ac:dyDescent="0.3"/>
  <cols>
    <col min="1" max="1" width="75.7109375" style="7" customWidth="1"/>
    <col min="2" max="2" width="11.5703125" style="7" bestFit="1" customWidth="1"/>
    <col min="3" max="4" width="1.7109375" style="7" customWidth="1"/>
    <col min="5" max="5" width="35" style="7" customWidth="1"/>
    <col min="6" max="6" width="10.5703125" style="7" bestFit="1" customWidth="1"/>
    <col min="7" max="10" width="9.140625" style="7"/>
    <col min="11" max="11" width="9.140625" style="7" customWidth="1"/>
    <col min="12" max="12" width="11.7109375" style="7" customWidth="1"/>
    <col min="13" max="13" width="9.140625" style="7"/>
    <col min="14" max="14" width="9.28515625" style="7" bestFit="1" customWidth="1"/>
    <col min="15" max="15" width="1.7109375" style="7" customWidth="1"/>
    <col min="16" max="17" width="9.28515625" style="7" bestFit="1" customWidth="1"/>
    <col min="18" max="18" width="1.7109375" style="7" customWidth="1"/>
    <col min="19" max="19" width="9.28515625" style="7" bestFit="1" customWidth="1"/>
    <col min="20" max="20" width="23.28515625" style="7" customWidth="1"/>
    <col min="21" max="21" width="1.7109375" style="7" customWidth="1"/>
    <col min="22" max="22" width="27.28515625" style="7" bestFit="1" customWidth="1"/>
    <col min="23" max="23" width="11.7109375" style="7" bestFit="1" customWidth="1"/>
    <col min="24" max="24" width="1.7109375" style="7" customWidth="1"/>
    <col min="25" max="27" width="9.140625" style="7"/>
    <col min="28" max="28" width="9.7109375" style="7" bestFit="1" customWidth="1"/>
    <col min="29" max="32" width="10.140625" style="7" bestFit="1" customWidth="1"/>
    <col min="33" max="34" width="10.5703125" style="7" bestFit="1" customWidth="1"/>
    <col min="35" max="35" width="10.140625" style="7" bestFit="1" customWidth="1"/>
    <col min="36" max="16384" width="9.140625" style="7"/>
  </cols>
  <sheetData>
    <row r="1" spans="1:35" ht="20.25" customHeight="1" x14ac:dyDescent="0.3">
      <c r="A1" s="364" t="s">
        <v>174</v>
      </c>
      <c r="B1" s="365"/>
      <c r="C1" s="118"/>
      <c r="E1" s="366" t="s">
        <v>196</v>
      </c>
      <c r="F1" s="367"/>
      <c r="G1" s="367"/>
      <c r="H1" s="367"/>
      <c r="I1" s="367"/>
      <c r="J1" s="367"/>
      <c r="K1" s="368"/>
      <c r="M1" s="371" t="s">
        <v>421</v>
      </c>
      <c r="N1" s="372"/>
      <c r="O1" s="372"/>
      <c r="P1" s="372"/>
      <c r="Q1" s="372"/>
      <c r="R1" s="372"/>
      <c r="S1" s="372"/>
      <c r="T1" s="372"/>
      <c r="U1" s="372"/>
      <c r="V1" s="372"/>
      <c r="W1" s="372"/>
    </row>
    <row r="2" spans="1:35" ht="17.25" x14ac:dyDescent="0.3">
      <c r="A2" s="103" t="s">
        <v>153</v>
      </c>
      <c r="B2" s="104">
        <f>B3/(B3+B7)</f>
        <v>0.20082607105060299</v>
      </c>
      <c r="C2" s="89"/>
      <c r="E2" s="90"/>
      <c r="F2" s="11"/>
      <c r="G2" s="11">
        <v>1</v>
      </c>
      <c r="H2" s="11">
        <v>2</v>
      </c>
      <c r="I2" s="11">
        <v>3</v>
      </c>
      <c r="J2" s="11">
        <v>4</v>
      </c>
      <c r="K2" s="89">
        <v>5</v>
      </c>
      <c r="M2" s="373" t="s">
        <v>198</v>
      </c>
      <c r="N2" s="373"/>
      <c r="O2" s="373"/>
      <c r="P2" s="373"/>
      <c r="Q2" s="373"/>
      <c r="R2" s="373"/>
      <c r="S2" s="373"/>
      <c r="T2" s="373"/>
      <c r="U2" s="373"/>
      <c r="V2" s="373"/>
      <c r="W2" s="373"/>
    </row>
    <row r="3" spans="1:35" ht="18.75" customHeight="1" x14ac:dyDescent="0.3">
      <c r="A3" s="105" t="s">
        <v>154</v>
      </c>
      <c r="B3" s="106">
        <f>('Balance Sheet'!G25+'Balance Sheet'!G27)</f>
        <v>24593</v>
      </c>
      <c r="C3" s="89"/>
      <c r="E3" s="90"/>
      <c r="F3" s="91">
        <v>2019</v>
      </c>
      <c r="G3" s="92">
        <v>2020</v>
      </c>
      <c r="H3" s="92">
        <v>2021</v>
      </c>
      <c r="I3" s="92">
        <v>2022</v>
      </c>
      <c r="J3" s="92">
        <v>2023</v>
      </c>
      <c r="K3" s="93">
        <v>2024</v>
      </c>
      <c r="M3" s="362" t="s">
        <v>152</v>
      </c>
      <c r="N3" s="363"/>
      <c r="P3" s="362" t="s">
        <v>195</v>
      </c>
      <c r="Q3" s="363"/>
      <c r="S3" s="362" t="s">
        <v>200</v>
      </c>
      <c r="T3" s="363"/>
      <c r="V3" s="362" t="s">
        <v>199</v>
      </c>
      <c r="W3" s="363"/>
    </row>
    <row r="4" spans="1:35" x14ac:dyDescent="0.3">
      <c r="A4" s="103" t="s">
        <v>155</v>
      </c>
      <c r="B4" s="107">
        <f>1-B2</f>
        <v>0.79917392894939698</v>
      </c>
      <c r="C4" s="89"/>
      <c r="E4" s="90"/>
      <c r="F4" s="11" t="s">
        <v>176</v>
      </c>
      <c r="G4" s="11" t="s">
        <v>177</v>
      </c>
      <c r="H4" s="11" t="s">
        <v>178</v>
      </c>
      <c r="I4" s="11" t="s">
        <v>179</v>
      </c>
      <c r="J4" s="11" t="s">
        <v>180</v>
      </c>
      <c r="K4" s="89" t="s">
        <v>181</v>
      </c>
      <c r="M4" s="119"/>
      <c r="N4" s="166">
        <f>F20</f>
        <v>139.80661220297284</v>
      </c>
      <c r="P4" s="90"/>
      <c r="Q4" s="167">
        <f>F20</f>
        <v>139.80661220297284</v>
      </c>
      <c r="S4" s="90"/>
      <c r="T4" s="167">
        <f>F20</f>
        <v>139.80661220297284</v>
      </c>
      <c r="V4" s="90"/>
      <c r="W4" s="167">
        <f>F20</f>
        <v>139.80661220297284</v>
      </c>
    </row>
    <row r="5" spans="1:35" x14ac:dyDescent="0.3">
      <c r="A5" s="105" t="s">
        <v>156</v>
      </c>
      <c r="B5" s="11">
        <v>77.06</v>
      </c>
      <c r="C5" s="89"/>
      <c r="E5" s="90" t="s">
        <v>0</v>
      </c>
      <c r="F5" s="94">
        <f>'Income Statement'!F17</f>
        <v>5364</v>
      </c>
      <c r="G5" s="94">
        <f>'Income Statement'!G17</f>
        <v>8104.053081600001</v>
      </c>
      <c r="H5" s="94">
        <f>'Income Statement'!H17</f>
        <v>11540.667450690002</v>
      </c>
      <c r="I5" s="94">
        <f>'Income Statement'!I17</f>
        <v>16733.967803500498</v>
      </c>
      <c r="J5" s="94">
        <f>'Income Statement'!J17</f>
        <v>18816.309682939911</v>
      </c>
      <c r="K5" s="95">
        <f>'Income Statement'!K17</f>
        <v>20697.940651233905</v>
      </c>
      <c r="M5" s="120">
        <v>0.02</v>
      </c>
      <c r="N5" s="137">
        <f t="dataTable" ref="N5:N14" dt2D="0" dtr="0" r1="B15"/>
        <v>2626.695148551602</v>
      </c>
      <c r="P5" s="120">
        <v>6.0000000000000001E-3</v>
      </c>
      <c r="Q5" s="135">
        <f t="dataTable" ref="Q5:Q14" dt2D="0" dtr="0" r1="B17" ca="1"/>
        <v>116.73228088646606</v>
      </c>
      <c r="S5" s="121">
        <v>335</v>
      </c>
      <c r="T5" s="134">
        <f t="dataTable" ref="T5:T14" dt2D="0" dtr="0" r1="B6" ca="1"/>
        <v>746.95749522984647</v>
      </c>
      <c r="V5" s="131">
        <v>75000</v>
      </c>
      <c r="W5" s="133">
        <f t="dataTable" ref="W5:W14" dt2D="0" dtr="0" r1="F16" ca="1"/>
        <v>39.690551181102364</v>
      </c>
    </row>
    <row r="6" spans="1:35" x14ac:dyDescent="0.3">
      <c r="A6" s="105" t="s">
        <v>422</v>
      </c>
      <c r="B6" s="108">
        <v>1270</v>
      </c>
      <c r="C6" s="89"/>
      <c r="E6" s="90" t="s">
        <v>161</v>
      </c>
      <c r="F6" s="94">
        <f>'Income Statement'!U3</f>
        <v>255</v>
      </c>
      <c r="G6" s="94">
        <f>'Income Statement'!V3</f>
        <v>309.7962</v>
      </c>
      <c r="H6" s="94">
        <f>'Income Statement'!W3</f>
        <v>449.20448999999996</v>
      </c>
      <c r="I6" s="94">
        <f>'Income Statement'!X3</f>
        <v>651.34651049999991</v>
      </c>
      <c r="J6" s="94">
        <f>'Income Statement'!Y3</f>
        <v>716.48116154999991</v>
      </c>
      <c r="K6" s="95">
        <f>'Income Statement'!Z3</f>
        <v>788.12927770500005</v>
      </c>
      <c r="M6" s="120">
        <v>2.1999999999999999E-2</v>
      </c>
      <c r="N6" s="137">
        <v>1720.0306928280047</v>
      </c>
      <c r="P6" s="120">
        <v>7.0000000000000001E-3</v>
      </c>
      <c r="Q6" s="135">
        <v>118.69858217172494</v>
      </c>
      <c r="S6" s="121">
        <v>535</v>
      </c>
      <c r="T6" s="134">
        <v>404.51237669465661</v>
      </c>
      <c r="V6" s="131">
        <v>95000</v>
      </c>
      <c r="W6" s="133">
        <v>55.438582677165357</v>
      </c>
    </row>
    <row r="7" spans="1:35" x14ac:dyDescent="0.3">
      <c r="A7" s="105" t="s">
        <v>169</v>
      </c>
      <c r="B7" s="106">
        <f>B5*B6</f>
        <v>97866.2</v>
      </c>
      <c r="C7" s="89"/>
      <c r="E7" s="90" t="s">
        <v>162</v>
      </c>
      <c r="F7" s="94">
        <f>-'Cash Flow'!F12</f>
        <v>496</v>
      </c>
      <c r="G7" s="94">
        <f>-'Cash Flow'!G12</f>
        <v>661.27000000000044</v>
      </c>
      <c r="H7" s="94">
        <f>-'Cash Flow'!H12</f>
        <v>2323.4714999999997</v>
      </c>
      <c r="I7" s="94">
        <f>-'Cash Flow'!I12</f>
        <v>3369.0336749999988</v>
      </c>
      <c r="J7" s="94">
        <f>-'Cash Flow'!J12</f>
        <v>1085.5775174999999</v>
      </c>
      <c r="K7" s="95">
        <f>-'Cash Flow'!K12</f>
        <v>1194.1352692500022</v>
      </c>
      <c r="L7" s="157">
        <v>-0.5</v>
      </c>
      <c r="M7" s="158">
        <v>3.5999999999999997E-2</v>
      </c>
      <c r="N7" s="159">
        <v>475.56153421409317</v>
      </c>
      <c r="O7" s="160"/>
      <c r="P7" s="158">
        <v>8.0000000000000002E-3</v>
      </c>
      <c r="Q7" s="161">
        <v>120.72630406550839</v>
      </c>
      <c r="R7" s="160"/>
      <c r="S7" s="162">
        <v>635</v>
      </c>
      <c r="T7" s="163">
        <v>325.19104015724452</v>
      </c>
      <c r="U7" s="160"/>
      <c r="V7" s="164">
        <v>101074</v>
      </c>
      <c r="W7" s="165">
        <v>60.221259842519686</v>
      </c>
    </row>
    <row r="8" spans="1:35" x14ac:dyDescent="0.3">
      <c r="A8" s="103" t="s">
        <v>171</v>
      </c>
      <c r="B8" s="104">
        <v>4.4400000000000002E-2</v>
      </c>
      <c r="C8" s="89"/>
      <c r="E8" s="90" t="s">
        <v>163</v>
      </c>
      <c r="F8" s="94"/>
      <c r="G8" s="94">
        <f>G9-F9</f>
        <v>2320.1454999999987</v>
      </c>
      <c r="H8" s="94">
        <f t="shared" ref="H8:K8" si="0">H9-G9</f>
        <v>3803.4218249999976</v>
      </c>
      <c r="I8" s="94">
        <f t="shared" si="0"/>
        <v>13121.805296250001</v>
      </c>
      <c r="J8" s="94">
        <f t="shared" si="0"/>
        <v>19026.617679562485</v>
      </c>
      <c r="K8" s="95">
        <f t="shared" si="0"/>
        <v>6130.7990300812526</v>
      </c>
      <c r="M8" s="122">
        <v>4.2000000000000003E-2</v>
      </c>
      <c r="N8" s="137">
        <v>354.33480793828232</v>
      </c>
      <c r="P8" s="122">
        <v>0.01</v>
      </c>
      <c r="Q8" s="135">
        <v>124.97789228483281</v>
      </c>
      <c r="S8" s="123">
        <v>735</v>
      </c>
      <c r="T8" s="134">
        <v>270.72407709582944</v>
      </c>
      <c r="V8" s="132">
        <v>125030</v>
      </c>
      <c r="W8" s="133">
        <v>79.084251968503935</v>
      </c>
    </row>
    <row r="9" spans="1:35" x14ac:dyDescent="0.3">
      <c r="A9" s="109" t="s">
        <v>157</v>
      </c>
      <c r="B9" s="107">
        <f>(1-B16)*B8</f>
        <v>3.5076000000000003E-2</v>
      </c>
      <c r="C9" s="89"/>
      <c r="E9" s="90" t="s">
        <v>164</v>
      </c>
      <c r="F9" s="94">
        <f>F10-F11</f>
        <v>23036</v>
      </c>
      <c r="G9" s="94">
        <f t="shared" ref="G9:K9" si="1">G10-G11</f>
        <v>25356.145499999999</v>
      </c>
      <c r="H9" s="94">
        <f t="shared" si="1"/>
        <v>29159.567324999996</v>
      </c>
      <c r="I9" s="94">
        <f t="shared" si="1"/>
        <v>42281.372621249997</v>
      </c>
      <c r="J9" s="94">
        <f t="shared" si="1"/>
        <v>61307.990300812482</v>
      </c>
      <c r="K9" s="95">
        <f t="shared" si="1"/>
        <v>67438.789330893735</v>
      </c>
      <c r="M9" s="122">
        <v>5.1999999999999998E-2</v>
      </c>
      <c r="N9" s="137">
        <v>242.65451079773226</v>
      </c>
      <c r="P9" s="122">
        <v>1.2999999999999999E-2</v>
      </c>
      <c r="Q9" s="135">
        <v>131.89547976406976</v>
      </c>
      <c r="S9" s="123">
        <v>850</v>
      </c>
      <c r="T9" s="134">
        <v>226.25584216914817</v>
      </c>
      <c r="V9" s="132">
        <v>165239</v>
      </c>
      <c r="W9" s="133">
        <v>110.74488188976378</v>
      </c>
    </row>
    <row r="10" spans="1:35" x14ac:dyDescent="0.3">
      <c r="A10" s="90" t="s">
        <v>158</v>
      </c>
      <c r="B10" s="11"/>
      <c r="C10" s="89"/>
      <c r="E10" s="90" t="s">
        <v>165</v>
      </c>
      <c r="F10" s="94">
        <f>'Balance Sheet'!G11</f>
        <v>30296</v>
      </c>
      <c r="G10" s="94">
        <f>'Balance Sheet'!H11</f>
        <v>33673.5</v>
      </c>
      <c r="H10" s="94">
        <f>'Balance Sheet'!I11</f>
        <v>38724.524999999994</v>
      </c>
      <c r="I10" s="94">
        <f>'Balance Sheet'!J11</f>
        <v>56150.561249999999</v>
      </c>
      <c r="J10" s="94">
        <f>'Balance Sheet'!K11</f>
        <v>81418.313812499982</v>
      </c>
      <c r="K10" s="95">
        <f>'Balance Sheet'!L11</f>
        <v>89560.145193749981</v>
      </c>
      <c r="M10" s="122">
        <v>6.2E-2</v>
      </c>
      <c r="N10" s="137">
        <v>179.93818986340656</v>
      </c>
      <c r="P10" s="122">
        <v>1.4999999999999999E-2</v>
      </c>
      <c r="Q10" s="135">
        <v>136.9115475805296</v>
      </c>
      <c r="S10" s="123">
        <v>1070</v>
      </c>
      <c r="T10" s="134">
        <v>171.26217111808111</v>
      </c>
      <c r="V10" s="132">
        <v>192859</v>
      </c>
      <c r="W10" s="133">
        <v>132.49291338582677</v>
      </c>
    </row>
    <row r="11" spans="1:35" x14ac:dyDescent="0.3">
      <c r="A11" s="105" t="s">
        <v>150</v>
      </c>
      <c r="B11" s="11">
        <f>Beta!J21</f>
        <v>1.1929637830713282</v>
      </c>
      <c r="C11" s="89"/>
      <c r="E11" s="90" t="s">
        <v>182</v>
      </c>
      <c r="F11" s="94">
        <f>'Balance Sheet'!G22+'Balance Sheet'!G23+'Balance Sheet'!G24</f>
        <v>7260</v>
      </c>
      <c r="G11" s="94">
        <f>'Balance Sheet'!H22+'Balance Sheet'!H23+'Balance Sheet'!H24</f>
        <v>8317.3545000000013</v>
      </c>
      <c r="H11" s="94">
        <f>'Balance Sheet'!I22+'Balance Sheet'!I23+'Balance Sheet'!I24</f>
        <v>9564.9576749999978</v>
      </c>
      <c r="I11" s="94">
        <f>'Balance Sheet'!J22+'Balance Sheet'!J23+'Balance Sheet'!J24</f>
        <v>13869.188628750002</v>
      </c>
      <c r="J11" s="94">
        <f>'Balance Sheet'!K22+'Balance Sheet'!K23+'Balance Sheet'!K24</f>
        <v>20110.323511687497</v>
      </c>
      <c r="K11" s="95">
        <f>'Balance Sheet'!L22+'Balance Sheet'!L23+'Balance Sheet'!L24</f>
        <v>22121.355862856246</v>
      </c>
      <c r="L11" s="156" t="s">
        <v>201</v>
      </c>
      <c r="M11" s="138">
        <v>7.2000000000000008E-2</v>
      </c>
      <c r="N11" s="139">
        <v>139.89638090113161</v>
      </c>
      <c r="O11" s="140"/>
      <c r="P11" s="138">
        <v>1.61E-2</v>
      </c>
      <c r="Q11" s="141">
        <v>139.82330444823009</v>
      </c>
      <c r="R11" s="140"/>
      <c r="S11" s="142">
        <v>1270</v>
      </c>
      <c r="T11" s="143">
        <v>139.80661220297284</v>
      </c>
      <c r="U11" s="140"/>
      <c r="V11" s="144">
        <v>202147</v>
      </c>
      <c r="W11" s="145">
        <v>139.80629921259842</v>
      </c>
    </row>
    <row r="12" spans="1:35" x14ac:dyDescent="0.3">
      <c r="A12" s="105" t="s">
        <v>159</v>
      </c>
      <c r="B12" s="124">
        <f>(Beta!D62)/100</f>
        <v>1.5700000000000002E-2</v>
      </c>
      <c r="C12" s="89"/>
      <c r="E12" s="90" t="s">
        <v>166</v>
      </c>
      <c r="F12" s="11"/>
      <c r="G12" s="79">
        <f>G5+G6-G7-G8</f>
        <v>5432.4337816000025</v>
      </c>
      <c r="H12" s="79">
        <f t="shared" ref="H12:K12" si="2">H5+H6-H7-H8</f>
        <v>5862.9786156900045</v>
      </c>
      <c r="I12" s="79">
        <f t="shared" si="2"/>
        <v>894.47534275049838</v>
      </c>
      <c r="J12" s="79">
        <f t="shared" si="2"/>
        <v>-579.40435257257195</v>
      </c>
      <c r="K12" s="79">
        <f t="shared" si="2"/>
        <v>14161.135629607648</v>
      </c>
      <c r="M12" s="122">
        <v>8.199999999999999E-2</v>
      </c>
      <c r="N12" s="137">
        <v>112.19613220319658</v>
      </c>
      <c r="P12" s="122">
        <v>1.9E-2</v>
      </c>
      <c r="Q12" s="135">
        <v>148.07880959821622</v>
      </c>
      <c r="S12" s="123">
        <v>1450</v>
      </c>
      <c r="T12" s="134">
        <v>119.78863607529411</v>
      </c>
      <c r="V12" s="132">
        <v>285968</v>
      </c>
      <c r="W12" s="95">
        <v>205.80708661417322</v>
      </c>
    </row>
    <row r="13" spans="1:35" x14ac:dyDescent="0.3">
      <c r="A13" s="105" t="s">
        <v>172</v>
      </c>
      <c r="B13" s="104">
        <v>5.5E-2</v>
      </c>
      <c r="C13" s="89"/>
      <c r="E13" s="90" t="s">
        <v>167</v>
      </c>
      <c r="F13" s="11"/>
      <c r="G13" s="80">
        <v>0</v>
      </c>
      <c r="H13" s="80">
        <v>0</v>
      </c>
      <c r="I13" s="80">
        <v>0</v>
      </c>
      <c r="J13" s="80">
        <v>0</v>
      </c>
      <c r="K13" s="80">
        <f>(K12*(1+'WACC &amp; Valuation'!B17))/('WACC &amp; Valuation'!B15-'WACC &amp; Valuation'!B17)</f>
        <v>257252.22845945536</v>
      </c>
      <c r="M13" s="122">
        <v>9.1999999999999998E-2</v>
      </c>
      <c r="N13" s="137">
        <v>91.950271756693169</v>
      </c>
      <c r="P13" s="122">
        <v>2.2000000000000002E-2</v>
      </c>
      <c r="Q13" s="135">
        <v>157.62617614393216</v>
      </c>
      <c r="S13" s="123">
        <v>1705</v>
      </c>
      <c r="T13" s="134">
        <v>99.442922374252191</v>
      </c>
      <c r="V13" s="132">
        <v>375895</v>
      </c>
      <c r="W13" s="95">
        <v>276.61574803149608</v>
      </c>
    </row>
    <row r="14" spans="1:35" x14ac:dyDescent="0.3">
      <c r="A14" s="110" t="s">
        <v>158</v>
      </c>
      <c r="B14" s="107">
        <f>B12+(B11*B13)</f>
        <v>8.1313008068923054E-2</v>
      </c>
      <c r="C14" s="89"/>
      <c r="E14" s="90" t="s">
        <v>183</v>
      </c>
      <c r="F14" s="11"/>
      <c r="G14" s="96">
        <f>G12+G13</f>
        <v>5432.4337816000025</v>
      </c>
      <c r="H14" s="96">
        <f t="shared" ref="H14:K14" si="3">H12+H13</f>
        <v>5862.9786156900045</v>
      </c>
      <c r="I14" s="96">
        <f t="shared" si="3"/>
        <v>894.47534275049838</v>
      </c>
      <c r="J14" s="96">
        <f t="shared" si="3"/>
        <v>-579.40435257257195</v>
      </c>
      <c r="K14" s="97">
        <f t="shared" si="3"/>
        <v>271413.36408906302</v>
      </c>
      <c r="L14" s="146" t="s">
        <v>202</v>
      </c>
      <c r="M14" s="147">
        <v>0.10800000000000001</v>
      </c>
      <c r="N14" s="148">
        <v>68.970500943943151</v>
      </c>
      <c r="O14" s="149"/>
      <c r="P14" s="150">
        <v>2.4E-2</v>
      </c>
      <c r="Q14" s="151">
        <v>164.65372032959797</v>
      </c>
      <c r="R14" s="149"/>
      <c r="S14" s="152">
        <v>1905</v>
      </c>
      <c r="T14" s="153">
        <v>87.686137682363182</v>
      </c>
      <c r="U14" s="149"/>
      <c r="V14" s="154">
        <v>407120</v>
      </c>
      <c r="W14" s="155">
        <v>301.20236220472441</v>
      </c>
    </row>
    <row r="15" spans="1:35" ht="17.25" thickBot="1" x14ac:dyDescent="0.35">
      <c r="A15" s="111" t="s">
        <v>152</v>
      </c>
      <c r="B15" s="112">
        <f>(B2*B9)+(B4*B14)</f>
        <v>7.202741140130621E-2</v>
      </c>
      <c r="C15" s="89"/>
      <c r="E15" s="90" t="s">
        <v>184</v>
      </c>
      <c r="F15" s="11"/>
      <c r="G15" s="86">
        <f>(G14)/(1+'WACC &amp; Valuation'!$B$15)^G2</f>
        <v>5067.4392499898568</v>
      </c>
      <c r="H15" s="86">
        <f>(H14)/(1+'WACC &amp; Valuation'!$B$15)^H2</f>
        <v>5101.6014759268182</v>
      </c>
      <c r="I15" s="86">
        <f>(I14)/(1+'WACC &amp; Valuation'!$B$15)^I2</f>
        <v>726.02354047334234</v>
      </c>
      <c r="J15" s="86">
        <f>(J14)/(1+'WACC &amp; Valuation'!$B$15)^J2</f>
        <v>-438.69046219828817</v>
      </c>
      <c r="K15" s="98">
        <f>(K14)/(1+'WACC &amp; Valuation'!$B$15)^K2</f>
        <v>191691.02369358379</v>
      </c>
    </row>
    <row r="16" spans="1:35" ht="18" customHeight="1" thickTop="1" x14ac:dyDescent="0.3">
      <c r="A16" s="105" t="s">
        <v>170</v>
      </c>
      <c r="B16" s="113">
        <v>0.21</v>
      </c>
      <c r="C16" s="89"/>
      <c r="E16" s="90" t="s">
        <v>168</v>
      </c>
      <c r="F16" s="96">
        <f>SUM(G15:K15)</f>
        <v>202147.39749777553</v>
      </c>
      <c r="G16" s="11"/>
      <c r="H16" s="11"/>
      <c r="I16" s="11"/>
      <c r="J16" s="11"/>
      <c r="K16" s="89"/>
      <c r="M16" s="358" t="s">
        <v>203</v>
      </c>
      <c r="N16" s="358"/>
      <c r="O16" s="358"/>
      <c r="P16" s="358"/>
      <c r="Q16" s="358"/>
      <c r="R16" s="358"/>
      <c r="S16" s="358"/>
      <c r="T16" s="358"/>
      <c r="U16" s="358"/>
      <c r="V16" s="358"/>
      <c r="W16" s="358"/>
      <c r="X16" s="358"/>
      <c r="Y16" s="358"/>
      <c r="Z16" s="358"/>
      <c r="AA16" s="358"/>
      <c r="AB16" s="358"/>
      <c r="AC16" s="358"/>
      <c r="AD16" s="358"/>
      <c r="AE16" s="358"/>
      <c r="AF16" s="358"/>
      <c r="AG16" s="358"/>
      <c r="AH16" s="358"/>
      <c r="AI16" s="358"/>
    </row>
    <row r="17" spans="1:35" ht="16.5" customHeight="1" x14ac:dyDescent="0.3">
      <c r="A17" s="111" t="s">
        <v>175</v>
      </c>
      <c r="B17" s="114">
        <f>B18*B19</f>
        <v>1.6093814975562486E-2</v>
      </c>
      <c r="C17" s="89"/>
      <c r="E17" s="90" t="s">
        <v>193</v>
      </c>
      <c r="F17" s="96">
        <f>-B3</f>
        <v>-24593</v>
      </c>
      <c r="G17" s="11"/>
      <c r="H17" s="11"/>
      <c r="I17" s="11"/>
      <c r="J17" s="11"/>
      <c r="K17" s="89"/>
      <c r="M17" s="374" t="s">
        <v>204</v>
      </c>
      <c r="N17" s="375"/>
      <c r="O17" s="375"/>
      <c r="P17" s="375"/>
      <c r="Q17" s="375"/>
      <c r="R17" s="375"/>
      <c r="S17" s="375"/>
      <c r="T17" s="375"/>
      <c r="U17" s="375"/>
      <c r="V17" s="375"/>
      <c r="W17" s="375"/>
      <c r="Y17" s="355" t="s">
        <v>392</v>
      </c>
      <c r="Z17" s="356"/>
      <c r="AA17" s="356"/>
      <c r="AB17" s="356"/>
      <c r="AC17" s="356"/>
      <c r="AD17" s="356"/>
      <c r="AE17" s="356"/>
      <c r="AF17" s="356"/>
      <c r="AG17" s="356"/>
      <c r="AH17" s="356"/>
      <c r="AI17" s="357"/>
    </row>
    <row r="18" spans="1:35" x14ac:dyDescent="0.3">
      <c r="A18" s="105" t="s">
        <v>160</v>
      </c>
      <c r="B18" s="104">
        <f>'Income Statement'!F17/'Balance Sheet'!G36</f>
        <v>0.2381354051054384</v>
      </c>
      <c r="C18" s="89"/>
      <c r="E18" s="90" t="s">
        <v>194</v>
      </c>
      <c r="F18" s="87">
        <f>SUM(F16:F17)</f>
        <v>177554.39749777553</v>
      </c>
      <c r="G18" s="11"/>
      <c r="H18" s="11"/>
      <c r="I18" s="11"/>
      <c r="J18" s="11"/>
      <c r="K18" s="89"/>
      <c r="M18" s="168">
        <f>F20</f>
        <v>139.80661220297284</v>
      </c>
      <c r="N18" s="169">
        <v>6.0000000000000001E-3</v>
      </c>
      <c r="O18" s="169">
        <v>7.0000000000000001E-3</v>
      </c>
      <c r="P18" s="169">
        <v>8.0000000000000002E-3</v>
      </c>
      <c r="Q18" s="169">
        <v>0.01</v>
      </c>
      <c r="R18" s="169">
        <v>1.2999999999999999E-2</v>
      </c>
      <c r="S18" s="169">
        <v>1.4999999999999999E-2</v>
      </c>
      <c r="T18" s="169">
        <v>1.61E-2</v>
      </c>
      <c r="U18" s="169">
        <v>1.9E-2</v>
      </c>
      <c r="V18" s="169">
        <v>1.95E-2</v>
      </c>
      <c r="W18" s="170">
        <v>2.4E-2</v>
      </c>
      <c r="Y18" s="171">
        <f>F20</f>
        <v>139.80661220297284</v>
      </c>
      <c r="Z18" s="96">
        <v>75000</v>
      </c>
      <c r="AA18" s="96">
        <v>95000</v>
      </c>
      <c r="AB18" s="96">
        <v>101074</v>
      </c>
      <c r="AC18" s="96">
        <v>125030</v>
      </c>
      <c r="AD18" s="96">
        <v>165239</v>
      </c>
      <c r="AE18" s="96">
        <v>192859</v>
      </c>
      <c r="AF18" s="96">
        <v>202147</v>
      </c>
      <c r="AG18" s="96">
        <v>285968</v>
      </c>
      <c r="AH18" s="96">
        <v>375895</v>
      </c>
      <c r="AI18" s="97">
        <v>407120</v>
      </c>
    </row>
    <row r="19" spans="1:35" x14ac:dyDescent="0.3">
      <c r="A19" s="115" t="s">
        <v>405</v>
      </c>
      <c r="B19" s="116">
        <f>'Income Statement'!F48</f>
        <v>6.7582621611585569E-2</v>
      </c>
      <c r="C19" s="102"/>
      <c r="E19" s="90" t="s">
        <v>185</v>
      </c>
      <c r="F19" s="94">
        <f>B6</f>
        <v>1270</v>
      </c>
      <c r="G19" s="11"/>
      <c r="H19" s="11"/>
      <c r="I19" s="11"/>
      <c r="J19" s="11"/>
      <c r="K19" s="89"/>
      <c r="M19" s="122">
        <v>0.02</v>
      </c>
      <c r="N19" s="174">
        <f t="dataTable" ref="N19:W28" dt2D="1" dtr="1" r1="B17" r2="B15" ca="1"/>
        <v>725.31844881676614</v>
      </c>
      <c r="O19" s="174">
        <v>781.91921189868231</v>
      </c>
      <c r="P19" s="174">
        <v>847.95343549425149</v>
      </c>
      <c r="Q19" s="174">
        <v>1019.6424168427308</v>
      </c>
      <c r="R19" s="174">
        <v>1461.1283688816773</v>
      </c>
      <c r="S19" s="174">
        <v>2049.7763049336068</v>
      </c>
      <c r="T19" s="174">
        <v>2630.8774725746134</v>
      </c>
      <c r="U19" s="174">
        <v>10290.847409660606</v>
      </c>
      <c r="V19" s="174">
        <v>20592.18629056936</v>
      </c>
      <c r="W19" s="133">
        <v>-2585.8261914753357</v>
      </c>
      <c r="Y19" s="123">
        <v>335</v>
      </c>
      <c r="Z19" s="172">
        <f t="dataTable" ref="Z19:AI28" dt2D="1" dtr="1" r1="F16" r2="B6" ca="1"/>
        <v>150.46865671641791</v>
      </c>
      <c r="AA19" s="172">
        <v>210.17014925373135</v>
      </c>
      <c r="AB19" s="172">
        <v>228.30149253731344</v>
      </c>
      <c r="AC19" s="172">
        <v>299.81194029850747</v>
      </c>
      <c r="AD19" s="172">
        <v>419.83880597014928</v>
      </c>
      <c r="AE19" s="172">
        <v>502.28656716417913</v>
      </c>
      <c r="AF19" s="172">
        <v>530.01194029850751</v>
      </c>
      <c r="AG19" s="172">
        <v>780.22388059701495</v>
      </c>
      <c r="AH19" s="172">
        <v>1048.6626865671642</v>
      </c>
      <c r="AI19" s="135">
        <v>1141.8716417910448</v>
      </c>
    </row>
    <row r="20" spans="1:35" x14ac:dyDescent="0.3">
      <c r="A20" s="127"/>
      <c r="B20" s="128"/>
      <c r="E20" s="99" t="s">
        <v>186</v>
      </c>
      <c r="F20" s="100">
        <f>F18/F19</f>
        <v>139.80661220297284</v>
      </c>
      <c r="G20" s="101"/>
      <c r="H20" s="101"/>
      <c r="I20" s="101"/>
      <c r="J20" s="101"/>
      <c r="K20" s="102"/>
      <c r="M20" s="122">
        <v>2.1999999999999999E-2</v>
      </c>
      <c r="N20" s="174">
        <v>628.29103358982798</v>
      </c>
      <c r="O20" s="174">
        <v>670.87827763705161</v>
      </c>
      <c r="P20" s="174">
        <v>719.54941369102187</v>
      </c>
      <c r="Q20" s="174">
        <v>841.22725382594695</v>
      </c>
      <c r="R20" s="174">
        <v>1125.1422141407725</v>
      </c>
      <c r="S20" s="174">
        <v>1449.6164545005729</v>
      </c>
      <c r="T20" s="174">
        <v>1721.8448425990505</v>
      </c>
      <c r="U20" s="174">
        <v>3396.4618966593766</v>
      </c>
      <c r="V20" s="174">
        <v>4077.8578014149602</v>
      </c>
      <c r="W20" s="133">
        <v>-5120.9869127853835</v>
      </c>
      <c r="Y20" s="123">
        <v>535</v>
      </c>
      <c r="Z20" s="172">
        <v>94.218691588785049</v>
      </c>
      <c r="AA20" s="172">
        <v>131.60186915887851</v>
      </c>
      <c r="AB20" s="172">
        <v>142.95514018691588</v>
      </c>
      <c r="AC20" s="172">
        <v>187.73271028037382</v>
      </c>
      <c r="AD20" s="172">
        <v>262.88971962616824</v>
      </c>
      <c r="AE20" s="172">
        <v>314.51588785046727</v>
      </c>
      <c r="AF20" s="172">
        <v>331.87663551401869</v>
      </c>
      <c r="AG20" s="172">
        <v>488.55140186915889</v>
      </c>
      <c r="AH20" s="172">
        <v>656.63925233644864</v>
      </c>
      <c r="AI20" s="135">
        <v>715.00373831775698</v>
      </c>
    </row>
    <row r="21" spans="1:35" ht="20.25" x14ac:dyDescent="0.3">
      <c r="A21" s="369" t="s">
        <v>197</v>
      </c>
      <c r="B21" s="370"/>
      <c r="C21" s="370"/>
      <c r="D21" s="370"/>
      <c r="E21" s="370"/>
      <c r="F21" s="370"/>
      <c r="G21" s="370"/>
      <c r="H21" s="370"/>
      <c r="I21" s="370"/>
      <c r="J21" s="370"/>
      <c r="K21" s="370"/>
      <c r="M21" s="122">
        <v>3.5999999999999997E-2</v>
      </c>
      <c r="N21" s="174">
        <v>311.95471994674591</v>
      </c>
      <c r="O21" s="174">
        <v>323.08064389792003</v>
      </c>
      <c r="P21" s="174">
        <v>335.00127670274958</v>
      </c>
      <c r="Q21" s="174">
        <v>361.59345757506139</v>
      </c>
      <c r="R21" s="174">
        <v>410.15309221145685</v>
      </c>
      <c r="S21" s="174">
        <v>450.2340604827674</v>
      </c>
      <c r="T21" s="174">
        <v>475.71266594166599</v>
      </c>
      <c r="U21" s="174">
        <v>558.6884452169021</v>
      </c>
      <c r="V21" s="174">
        <v>575.94255187915098</v>
      </c>
      <c r="W21" s="133">
        <v>795.93241182282179</v>
      </c>
      <c r="Y21" s="123">
        <v>635</v>
      </c>
      <c r="Z21" s="172">
        <v>79.381102362204729</v>
      </c>
      <c r="AA21" s="172">
        <v>110.87716535433071</v>
      </c>
      <c r="AB21" s="172">
        <v>120.44251968503937</v>
      </c>
      <c r="AC21" s="172">
        <v>158.16850393700787</v>
      </c>
      <c r="AD21" s="172">
        <v>221.48976377952755</v>
      </c>
      <c r="AE21" s="172">
        <v>264.98582677165354</v>
      </c>
      <c r="AF21" s="172">
        <v>279.61259842519684</v>
      </c>
      <c r="AG21" s="172">
        <v>411.61417322834643</v>
      </c>
      <c r="AH21" s="172">
        <v>553.23149606299216</v>
      </c>
      <c r="AI21" s="135">
        <v>602.40472440944882</v>
      </c>
    </row>
    <row r="22" spans="1:35" ht="66" customHeight="1" x14ac:dyDescent="0.3">
      <c r="A22" s="359" t="s">
        <v>209</v>
      </c>
      <c r="B22" s="360"/>
      <c r="C22" s="360"/>
      <c r="D22" s="360"/>
      <c r="E22" s="360"/>
      <c r="F22" s="360"/>
      <c r="G22" s="360"/>
      <c r="H22" s="360"/>
      <c r="I22" s="360"/>
      <c r="J22" s="360"/>
      <c r="K22" s="361"/>
      <c r="M22" s="122">
        <v>4.2000000000000003E-2</v>
      </c>
      <c r="N22" s="174">
        <v>251.96477066936217</v>
      </c>
      <c r="O22" s="174">
        <v>259.4715377422616</v>
      </c>
      <c r="P22" s="174">
        <v>267.41987934886106</v>
      </c>
      <c r="Q22" s="174">
        <v>284.80687661329728</v>
      </c>
      <c r="R22" s="174">
        <v>315.38400973351253</v>
      </c>
      <c r="S22" s="174">
        <v>339.54371985318886</v>
      </c>
      <c r="T22" s="174">
        <v>354.42199693461117</v>
      </c>
      <c r="U22" s="174">
        <v>400.46820624193799</v>
      </c>
      <c r="V22" s="174">
        <v>409.60687920025038</v>
      </c>
      <c r="W22" s="133">
        <v>514.70161822084242</v>
      </c>
      <c r="Y22" s="123">
        <v>735</v>
      </c>
      <c r="Z22" s="172">
        <v>68.580952380952382</v>
      </c>
      <c r="AA22" s="172">
        <v>95.791836734693874</v>
      </c>
      <c r="AB22" s="172">
        <v>104.05578231292517</v>
      </c>
      <c r="AC22" s="172">
        <v>136.64897959183673</v>
      </c>
      <c r="AD22" s="172">
        <v>191.35510204081632</v>
      </c>
      <c r="AE22" s="172">
        <v>228.93333333333334</v>
      </c>
      <c r="AF22" s="172">
        <v>241.57006802721088</v>
      </c>
      <c r="AG22" s="172">
        <v>355.61224489795916</v>
      </c>
      <c r="AH22" s="172">
        <v>477.96190476190475</v>
      </c>
      <c r="AI22" s="135">
        <v>520.44489795918366</v>
      </c>
    </row>
    <row r="23" spans="1:35" x14ac:dyDescent="0.3">
      <c r="A23" s="182"/>
      <c r="B23" s="182"/>
      <c r="C23" s="182"/>
      <c r="D23" s="182"/>
      <c r="E23" s="182"/>
      <c r="F23" s="182"/>
      <c r="G23" s="182"/>
      <c r="H23" s="182"/>
      <c r="I23" s="182"/>
      <c r="J23" s="182"/>
      <c r="K23" s="182"/>
      <c r="M23" s="122">
        <v>5.1999999999999998E-2</v>
      </c>
      <c r="N23" s="174">
        <v>187.01803076559239</v>
      </c>
      <c r="O23" s="174">
        <v>191.4160898211822</v>
      </c>
      <c r="P23" s="174">
        <v>196.01406065202616</v>
      </c>
      <c r="Q23" s="174">
        <v>205.86685528954882</v>
      </c>
      <c r="R23" s="174">
        <v>222.5408154453564</v>
      </c>
      <c r="S23" s="174">
        <v>235.15894745515675</v>
      </c>
      <c r="T23" s="174">
        <v>242.69819346101235</v>
      </c>
      <c r="U23" s="174">
        <v>264.98362311468486</v>
      </c>
      <c r="V23" s="174">
        <v>269.22790388161769</v>
      </c>
      <c r="W23" s="133">
        <v>314.24759630229823</v>
      </c>
      <c r="Y23" s="123">
        <v>850</v>
      </c>
      <c r="Z23" s="172">
        <v>59.302352941176473</v>
      </c>
      <c r="AA23" s="172">
        <v>82.83176470588235</v>
      </c>
      <c r="AB23" s="172">
        <v>89.977647058823536</v>
      </c>
      <c r="AC23" s="172">
        <v>118.16117647058823</v>
      </c>
      <c r="AD23" s="172">
        <v>165.46588235294118</v>
      </c>
      <c r="AE23" s="172">
        <v>197.96</v>
      </c>
      <c r="AF23" s="172">
        <v>208.8870588235294</v>
      </c>
      <c r="AG23" s="172">
        <v>307.5</v>
      </c>
      <c r="AH23" s="172">
        <v>413.29647058823531</v>
      </c>
      <c r="AI23" s="135">
        <v>450.03176470588238</v>
      </c>
    </row>
    <row r="24" spans="1:35" x14ac:dyDescent="0.3">
      <c r="A24" s="182"/>
      <c r="B24" s="182"/>
      <c r="C24" s="182"/>
      <c r="D24" s="182"/>
      <c r="E24" s="182"/>
      <c r="F24" s="182"/>
      <c r="G24" s="182"/>
      <c r="H24" s="182"/>
      <c r="I24" s="182"/>
      <c r="J24" s="182"/>
      <c r="K24" s="182"/>
      <c r="M24" s="122">
        <v>6.2E-2</v>
      </c>
      <c r="N24" s="174">
        <v>145.51965301865062</v>
      </c>
      <c r="O24" s="174">
        <v>148.36572302108834</v>
      </c>
      <c r="P24" s="174">
        <v>151.3172030236164</v>
      </c>
      <c r="Q24" s="174">
        <v>157.56071841357951</v>
      </c>
      <c r="R24" s="174">
        <v>167.88163160923281</v>
      </c>
      <c r="S24" s="174">
        <v>175.49422006560124</v>
      </c>
      <c r="T24" s="174">
        <v>179.9639206952119</v>
      </c>
      <c r="U24" s="174">
        <v>192.84384026848738</v>
      </c>
      <c r="V24" s="174">
        <v>195.24217012006287</v>
      </c>
      <c r="W24" s="133">
        <v>219.6672662400548</v>
      </c>
      <c r="Y24" s="123">
        <v>1070</v>
      </c>
      <c r="Z24" s="172">
        <v>47.109345794392524</v>
      </c>
      <c r="AA24" s="172">
        <v>65.800934579439257</v>
      </c>
      <c r="AB24" s="172">
        <v>71.477570093457942</v>
      </c>
      <c r="AC24" s="172">
        <v>93.866355140186911</v>
      </c>
      <c r="AD24" s="172">
        <v>131.44485981308412</v>
      </c>
      <c r="AE24" s="172">
        <v>157.25794392523363</v>
      </c>
      <c r="AF24" s="172">
        <v>165.93831775700934</v>
      </c>
      <c r="AG24" s="172">
        <v>244.27570093457945</v>
      </c>
      <c r="AH24" s="172">
        <v>328.31962616822432</v>
      </c>
      <c r="AI24" s="135">
        <v>357.50186915887849</v>
      </c>
    </row>
    <row r="25" spans="1:35" x14ac:dyDescent="0.3">
      <c r="A25" s="182"/>
      <c r="B25" s="182"/>
      <c r="C25" s="182"/>
      <c r="D25" s="182"/>
      <c r="E25" s="182"/>
      <c r="F25" s="182"/>
      <c r="G25" s="182"/>
      <c r="H25" s="182"/>
      <c r="I25" s="182"/>
      <c r="J25" s="182"/>
      <c r="K25" s="182"/>
      <c r="M25" s="122">
        <v>7.2000000000000008E-2</v>
      </c>
      <c r="N25" s="174">
        <v>116.79878566223499</v>
      </c>
      <c r="O25" s="174">
        <v>118.76693445307924</v>
      </c>
      <c r="P25" s="174">
        <v>120.79658789363739</v>
      </c>
      <c r="Q25" s="174">
        <v>125.05231284964633</v>
      </c>
      <c r="R25" s="174">
        <v>131.97688226959309</v>
      </c>
      <c r="S25" s="174">
        <v>136.9982074630048</v>
      </c>
      <c r="T25" s="174">
        <v>139.91309122912665</v>
      </c>
      <c r="U25" s="174">
        <v>148.17776166720449</v>
      </c>
      <c r="V25" s="174">
        <v>149.69498688063157</v>
      </c>
      <c r="W25" s="133">
        <v>164.77241243906334</v>
      </c>
      <c r="Y25" s="123">
        <v>1270</v>
      </c>
      <c r="Z25" s="172">
        <v>39.690551181102364</v>
      </c>
      <c r="AA25" s="172">
        <v>55.438582677165357</v>
      </c>
      <c r="AB25" s="172">
        <v>60.221259842519686</v>
      </c>
      <c r="AC25" s="172">
        <v>79.084251968503935</v>
      </c>
      <c r="AD25" s="172">
        <v>110.74488188976378</v>
      </c>
      <c r="AE25" s="172">
        <v>132.49291338582677</v>
      </c>
      <c r="AF25" s="172">
        <v>139.80629921259842</v>
      </c>
      <c r="AG25" s="172">
        <v>205.80708661417322</v>
      </c>
      <c r="AH25" s="172">
        <v>276.61574803149608</v>
      </c>
      <c r="AI25" s="135">
        <v>301.20236220472441</v>
      </c>
    </row>
    <row r="26" spans="1:35" x14ac:dyDescent="0.3">
      <c r="A26" s="182"/>
      <c r="B26" s="182"/>
      <c r="C26" s="182"/>
      <c r="D26" s="182"/>
      <c r="E26" s="182"/>
      <c r="F26" s="182"/>
      <c r="G26" s="182"/>
      <c r="H26" s="182"/>
      <c r="I26" s="182"/>
      <c r="J26" s="182"/>
      <c r="K26" s="182"/>
      <c r="M26" s="122">
        <v>8.199999999999999E-2</v>
      </c>
      <c r="N26" s="174">
        <v>95.80152966364227</v>
      </c>
      <c r="O26" s="174">
        <v>97.228813878104177</v>
      </c>
      <c r="P26" s="174">
        <v>98.694673341605622</v>
      </c>
      <c r="Q26" s="174">
        <v>101.74854722390027</v>
      </c>
      <c r="R26" s="174">
        <v>106.66130086063514</v>
      </c>
      <c r="S26" s="174">
        <v>110.18088555560941</v>
      </c>
      <c r="T26" s="174">
        <v>112.2077177130339</v>
      </c>
      <c r="U26" s="174">
        <v>117.89045203031492</v>
      </c>
      <c r="V26" s="174">
        <v>118.92353393792548</v>
      </c>
      <c r="W26" s="133">
        <v>129.02280017266986</v>
      </c>
      <c r="Y26" s="123">
        <v>1450</v>
      </c>
      <c r="Z26" s="172">
        <v>34.763448275862068</v>
      </c>
      <c r="AA26" s="172">
        <v>48.556551724137933</v>
      </c>
      <c r="AB26" s="172">
        <v>52.745517241379311</v>
      </c>
      <c r="AC26" s="172">
        <v>69.266896551724145</v>
      </c>
      <c r="AD26" s="172">
        <v>96.997241379310339</v>
      </c>
      <c r="AE26" s="172">
        <v>116.04551724137932</v>
      </c>
      <c r="AF26" s="172">
        <v>122.45103448275862</v>
      </c>
      <c r="AG26" s="172">
        <v>180.25862068965517</v>
      </c>
      <c r="AH26" s="172">
        <v>242.27724137931034</v>
      </c>
      <c r="AI26" s="135">
        <v>263.81172413793104</v>
      </c>
    </row>
    <row r="27" spans="1:35" x14ac:dyDescent="0.3">
      <c r="A27" s="182"/>
      <c r="B27" s="182"/>
      <c r="C27" s="182"/>
      <c r="D27" s="182"/>
      <c r="E27" s="182"/>
      <c r="F27" s="182"/>
      <c r="G27" s="182"/>
      <c r="H27" s="182"/>
      <c r="I27" s="182"/>
      <c r="J27" s="182"/>
      <c r="K27" s="182"/>
      <c r="M27" s="122">
        <v>9.1999999999999998E-2</v>
      </c>
      <c r="N27" s="174">
        <v>79.825221941881864</v>
      </c>
      <c r="O27" s="174">
        <v>80.897942073149011</v>
      </c>
      <c r="P27" s="174">
        <v>81.99620315992253</v>
      </c>
      <c r="Q27" s="174">
        <v>84.273085900794413</v>
      </c>
      <c r="R27" s="174">
        <v>87.904569765982487</v>
      </c>
      <c r="S27" s="174">
        <v>90.48276610317231</v>
      </c>
      <c r="T27" s="174">
        <v>91.958690093302721</v>
      </c>
      <c r="U27" s="174">
        <v>96.062971874076268</v>
      </c>
      <c r="V27" s="174">
        <v>96.803792295385975</v>
      </c>
      <c r="W27" s="133">
        <v>103.96142489539258</v>
      </c>
      <c r="Y27" s="123">
        <v>1705</v>
      </c>
      <c r="Z27" s="172">
        <v>29.564222873900292</v>
      </c>
      <c r="AA27" s="172">
        <v>41.294428152492671</v>
      </c>
      <c r="AB27" s="172">
        <v>44.856891495601175</v>
      </c>
      <c r="AC27" s="172">
        <v>58.907331378299119</v>
      </c>
      <c r="AD27" s="172">
        <v>82.490322580645156</v>
      </c>
      <c r="AE27" s="172">
        <v>98.68973607038123</v>
      </c>
      <c r="AF27" s="172">
        <v>104.13724340175953</v>
      </c>
      <c r="AG27" s="172">
        <v>153.29912023460412</v>
      </c>
      <c r="AH27" s="172">
        <v>206.04222873900292</v>
      </c>
      <c r="AI27" s="135">
        <v>224.35601173020527</v>
      </c>
    </row>
    <row r="28" spans="1:35" x14ac:dyDescent="0.3">
      <c r="A28" s="182"/>
      <c r="B28" s="182"/>
      <c r="C28" s="182"/>
      <c r="D28" s="182"/>
      <c r="E28" s="182"/>
      <c r="F28" s="182"/>
      <c r="G28" s="182"/>
      <c r="H28" s="182"/>
      <c r="I28" s="182"/>
      <c r="J28" s="182"/>
      <c r="K28" s="182"/>
      <c r="M28" s="125">
        <v>0.10800000000000001</v>
      </c>
      <c r="N28" s="175">
        <v>61.004401042662728</v>
      </c>
      <c r="O28" s="175">
        <v>61.72254874320096</v>
      </c>
      <c r="P28" s="175">
        <v>62.455059397749991</v>
      </c>
      <c r="Q28" s="175">
        <v>63.964928297942841</v>
      </c>
      <c r="R28" s="175">
        <v>66.348931824563138</v>
      </c>
      <c r="S28" s="175">
        <v>68.023715664052688</v>
      </c>
      <c r="T28" s="175">
        <v>68.975918663109582</v>
      </c>
      <c r="U28" s="175">
        <v>71.599096894423624</v>
      </c>
      <c r="V28" s="175">
        <v>72.068744428921505</v>
      </c>
      <c r="W28" s="176">
        <v>76.547169132883383</v>
      </c>
      <c r="Y28" s="126">
        <v>1905</v>
      </c>
      <c r="Z28" s="173">
        <v>26.460367454068241</v>
      </c>
      <c r="AA28" s="173">
        <v>36.959055118110236</v>
      </c>
      <c r="AB28" s="173">
        <v>40.147506561679791</v>
      </c>
      <c r="AC28" s="173">
        <v>52.722834645669295</v>
      </c>
      <c r="AD28" s="173">
        <v>73.829921259842521</v>
      </c>
      <c r="AE28" s="173">
        <v>88.328608923884516</v>
      </c>
      <c r="AF28" s="173">
        <v>93.204199475065622</v>
      </c>
      <c r="AG28" s="173">
        <v>137.20472440944883</v>
      </c>
      <c r="AH28" s="173">
        <v>184.41049868766405</v>
      </c>
      <c r="AI28" s="136">
        <v>200.80157480314961</v>
      </c>
    </row>
    <row r="29" spans="1:35" x14ac:dyDescent="0.3">
      <c r="A29" s="130"/>
      <c r="B29" s="129"/>
    </row>
    <row r="30" spans="1:35" x14ac:dyDescent="0.3">
      <c r="A30" s="130"/>
      <c r="B30" s="129"/>
    </row>
    <row r="31" spans="1:35" x14ac:dyDescent="0.3">
      <c r="A31" s="130"/>
      <c r="B31" s="129"/>
    </row>
    <row r="32" spans="1:35" x14ac:dyDescent="0.3">
      <c r="A32" s="130"/>
      <c r="B32" s="129"/>
    </row>
    <row r="33" spans="1:2" x14ac:dyDescent="0.3">
      <c r="A33" s="130"/>
      <c r="B33" s="129"/>
    </row>
    <row r="34" spans="1:2" x14ac:dyDescent="0.3">
      <c r="A34" s="130"/>
      <c r="B34" s="129"/>
    </row>
    <row r="35" spans="1:2" x14ac:dyDescent="0.3">
      <c r="A35" s="130"/>
      <c r="B35" s="129"/>
    </row>
    <row r="36" spans="1:2" x14ac:dyDescent="0.3">
      <c r="A36" s="130"/>
      <c r="B36" s="129"/>
    </row>
  </sheetData>
  <mergeCells count="13">
    <mergeCell ref="Y17:AI17"/>
    <mergeCell ref="M16:AI16"/>
    <mergeCell ref="A22:K22"/>
    <mergeCell ref="M3:N3"/>
    <mergeCell ref="A1:B1"/>
    <mergeCell ref="E1:K1"/>
    <mergeCell ref="A21:K21"/>
    <mergeCell ref="M1:W1"/>
    <mergeCell ref="P3:Q3"/>
    <mergeCell ref="S3:T3"/>
    <mergeCell ref="V3:W3"/>
    <mergeCell ref="M2:W2"/>
    <mergeCell ref="M17:W17"/>
  </mergeCells>
  <pageMargins left="0.7" right="0.7" top="0.75" bottom="0.75" header="0.3" footer="0.3"/>
  <ignoredErrors>
    <ignoredError sqref="L14"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B49B5-2D67-4E75-96E5-350E75A9B089}">
  <sheetPr codeName="Sheet10"/>
  <dimension ref="A2:E15"/>
  <sheetViews>
    <sheetView showGridLines="0" zoomScale="90" zoomScaleNormal="90" workbookViewId="0">
      <selection activeCell="A11" sqref="A11:E15"/>
    </sheetView>
  </sheetViews>
  <sheetFormatPr defaultRowHeight="15" x14ac:dyDescent="0.25"/>
  <cols>
    <col min="1" max="2" width="15.7109375" customWidth="1"/>
    <col min="3" max="3" width="15.140625" customWidth="1"/>
    <col min="4" max="4" width="16.7109375" customWidth="1"/>
    <col min="5" max="5" width="15.7109375" customWidth="1"/>
  </cols>
  <sheetData>
    <row r="2" spans="1:5" ht="15" customHeight="1" x14ac:dyDescent="0.25">
      <c r="A2" s="376" t="s">
        <v>207</v>
      </c>
      <c r="B2" s="376" t="s">
        <v>152</v>
      </c>
      <c r="C2" s="376" t="s">
        <v>195</v>
      </c>
      <c r="D2" s="387" t="s">
        <v>208</v>
      </c>
      <c r="E2" s="387" t="s">
        <v>199</v>
      </c>
    </row>
    <row r="3" spans="1:5" ht="15" customHeight="1" x14ac:dyDescent="0.25">
      <c r="A3" s="377"/>
      <c r="B3" s="377"/>
      <c r="C3" s="377"/>
      <c r="D3" s="388"/>
      <c r="E3" s="388"/>
    </row>
    <row r="4" spans="1:5" ht="16.5" x14ac:dyDescent="0.3">
      <c r="A4" s="179">
        <v>-0.5</v>
      </c>
      <c r="B4" s="88">
        <f>'WACC &amp; Valuation'!N7</f>
        <v>475.56153421409317</v>
      </c>
      <c r="C4" s="88">
        <f>'WACC &amp; Valuation'!Q7</f>
        <v>120.72630406550839</v>
      </c>
      <c r="D4" s="177">
        <f>'WACC &amp; Valuation'!T7</f>
        <v>325.19104015724452</v>
      </c>
      <c r="E4" s="117">
        <f>'WACC &amp; Valuation'!W7</f>
        <v>60.221259842519686</v>
      </c>
    </row>
    <row r="5" spans="1:5" ht="16.5" x14ac:dyDescent="0.3">
      <c r="A5" s="181" t="s">
        <v>205</v>
      </c>
      <c r="B5" s="88">
        <f>'WACC &amp; Valuation'!N11</f>
        <v>139.89638090113161</v>
      </c>
      <c r="C5" s="88">
        <f>'WACC &amp; Valuation'!Q11</f>
        <v>139.82330444823009</v>
      </c>
      <c r="D5" s="178">
        <f>'WACC &amp; Valuation'!T11</f>
        <v>139.80661220297284</v>
      </c>
      <c r="E5" s="117">
        <f>'WACC &amp; Valuation'!W11</f>
        <v>139.80629921259842</v>
      </c>
    </row>
    <row r="6" spans="1:5" ht="16.5" x14ac:dyDescent="0.3">
      <c r="A6" s="180" t="s">
        <v>206</v>
      </c>
      <c r="B6" s="88">
        <f>'WACC &amp; Valuation'!N14</f>
        <v>68.970500943943151</v>
      </c>
      <c r="C6" s="88">
        <f>'WACC &amp; Valuation'!Q14</f>
        <v>164.65372032959797</v>
      </c>
      <c r="D6" s="177">
        <f>'WACC &amp; Valuation'!T14</f>
        <v>87.686137682363182</v>
      </c>
      <c r="E6" s="88">
        <f>'WACC &amp; Valuation'!W14</f>
        <v>301.20236220472441</v>
      </c>
    </row>
    <row r="11" spans="1:5" ht="15" customHeight="1" x14ac:dyDescent="0.25">
      <c r="A11" s="378" t="s">
        <v>423</v>
      </c>
      <c r="B11" s="379"/>
      <c r="C11" s="379"/>
      <c r="D11" s="379"/>
      <c r="E11" s="380"/>
    </row>
    <row r="12" spans="1:5" x14ac:dyDescent="0.25">
      <c r="A12" s="381"/>
      <c r="B12" s="382"/>
      <c r="C12" s="382"/>
      <c r="D12" s="382"/>
      <c r="E12" s="383"/>
    </row>
    <row r="13" spans="1:5" x14ac:dyDescent="0.25">
      <c r="A13" s="381"/>
      <c r="B13" s="382"/>
      <c r="C13" s="382"/>
      <c r="D13" s="382"/>
      <c r="E13" s="383"/>
    </row>
    <row r="14" spans="1:5" x14ac:dyDescent="0.25">
      <c r="A14" s="381"/>
      <c r="B14" s="382"/>
      <c r="C14" s="382"/>
      <c r="D14" s="382"/>
      <c r="E14" s="383"/>
    </row>
    <row r="15" spans="1:5" x14ac:dyDescent="0.25">
      <c r="A15" s="384"/>
      <c r="B15" s="385"/>
      <c r="C15" s="385"/>
      <c r="D15" s="385"/>
      <c r="E15" s="386"/>
    </row>
  </sheetData>
  <mergeCells count="6">
    <mergeCell ref="A2:A3"/>
    <mergeCell ref="A11:E15"/>
    <mergeCell ref="B2:B3"/>
    <mergeCell ref="C2:C3"/>
    <mergeCell ref="D2:D3"/>
    <mergeCell ref="E2:E3"/>
  </mergeCells>
  <pageMargins left="0.7" right="0.7" top="0.75" bottom="0.75" header="0.3" footer="0.3"/>
  <ignoredErrors>
    <ignoredError sqref="A6" numberStoredAsText="1"/>
  </ignoredErrors>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DD749-392D-4344-B7D1-CF955172A4E4}">
  <sheetPr codeName="Sheet11"/>
  <dimension ref="A1:G44"/>
  <sheetViews>
    <sheetView showGridLines="0" zoomScale="70" zoomScaleNormal="70" workbookViewId="0"/>
  </sheetViews>
  <sheetFormatPr defaultColWidth="9.140625" defaultRowHeight="16.5" x14ac:dyDescent="0.3"/>
  <cols>
    <col min="1" max="1" width="28.140625" style="183" bestFit="1" customWidth="1"/>
    <col min="2" max="2" width="19" style="183" bestFit="1" customWidth="1"/>
    <col min="3" max="3" width="23.140625" style="183" customWidth="1"/>
    <col min="4" max="4" width="18.140625" style="183" customWidth="1"/>
    <col min="5" max="5" width="17.42578125" style="183" bestFit="1" customWidth="1"/>
    <col min="6" max="6" width="15.28515625" style="183" customWidth="1"/>
    <col min="7" max="7" width="19" style="183" customWidth="1"/>
    <col min="8" max="16384" width="9.140625" style="183"/>
  </cols>
  <sheetData>
    <row r="1" spans="1:7" ht="20.25" x14ac:dyDescent="0.3">
      <c r="A1" s="22" t="s">
        <v>223</v>
      </c>
      <c r="B1" s="22"/>
      <c r="C1" s="22"/>
      <c r="D1" s="22"/>
      <c r="E1" s="22"/>
      <c r="F1" s="194"/>
      <c r="G1" s="194"/>
    </row>
    <row r="2" spans="1:7" ht="16.5" customHeight="1" x14ac:dyDescent="0.3">
      <c r="A2" s="184"/>
      <c r="B2" s="185" t="s">
        <v>224</v>
      </c>
    </row>
    <row r="3" spans="1:7" ht="14.1" customHeight="1" x14ac:dyDescent="0.3">
      <c r="A3" s="184" t="s">
        <v>210</v>
      </c>
      <c r="B3" s="186">
        <f>'Income Statement'!F6</f>
        <v>22449</v>
      </c>
    </row>
    <row r="4" spans="1:7" ht="14.1" customHeight="1" x14ac:dyDescent="0.3">
      <c r="A4" s="184" t="s">
        <v>211</v>
      </c>
      <c r="B4" s="186">
        <f>'Income Statement'!F12+'Income Statement'!U4</f>
        <v>8789</v>
      </c>
    </row>
    <row r="5" spans="1:7" ht="14.1" customHeight="1" x14ac:dyDescent="0.3">
      <c r="A5" s="184" t="s">
        <v>212</v>
      </c>
      <c r="B5" s="186">
        <f>'Income Statement'!F12</f>
        <v>4287</v>
      </c>
    </row>
    <row r="6" spans="1:7" ht="14.1" customHeight="1" x14ac:dyDescent="0.3">
      <c r="A6" s="184" t="s">
        <v>213</v>
      </c>
      <c r="B6" s="186">
        <f>'Income Statement'!F17</f>
        <v>5364</v>
      </c>
    </row>
    <row r="7" spans="1:7" ht="14.1" customHeight="1" x14ac:dyDescent="0.3">
      <c r="A7" s="184" t="s">
        <v>214</v>
      </c>
      <c r="B7" s="186">
        <f>'Balance Sheet'!G33+'Balance Sheet'!G34+'Balance Sheet'!G35</f>
        <v>22525</v>
      </c>
    </row>
    <row r="8" spans="1:7" ht="14.1" customHeight="1" x14ac:dyDescent="0.3">
      <c r="A8" s="184" t="s">
        <v>215</v>
      </c>
      <c r="B8" s="186">
        <f>'Balance Sheet'!H27+'Balance Sheet'!G25</f>
        <v>29437.800000000003</v>
      </c>
    </row>
    <row r="9" spans="1:7" ht="14.1" customHeight="1" x14ac:dyDescent="0.3">
      <c r="A9" s="184" t="s">
        <v>185</v>
      </c>
      <c r="B9" s="186">
        <f>'WACC &amp; Valuation'!B6</f>
        <v>1270</v>
      </c>
    </row>
    <row r="10" spans="1:7" ht="14.1" customHeight="1" x14ac:dyDescent="0.3">
      <c r="A10" s="184" t="s">
        <v>229</v>
      </c>
      <c r="B10" s="186">
        <v>82575</v>
      </c>
    </row>
    <row r="11" spans="1:7" ht="15" customHeight="1" x14ac:dyDescent="0.3">
      <c r="A11" s="391" t="s">
        <v>237</v>
      </c>
      <c r="B11" s="389" t="s">
        <v>225</v>
      </c>
      <c r="C11" s="389" t="s">
        <v>226</v>
      </c>
      <c r="D11" s="389" t="s">
        <v>227</v>
      </c>
      <c r="E11" s="389" t="s">
        <v>216</v>
      </c>
    </row>
    <row r="12" spans="1:7" ht="15" customHeight="1" x14ac:dyDescent="0.3">
      <c r="A12" s="391"/>
      <c r="B12" s="390"/>
      <c r="C12" s="390"/>
      <c r="D12" s="390"/>
      <c r="E12" s="390"/>
    </row>
    <row r="13" spans="1:7" ht="17.100000000000001" customHeight="1" x14ac:dyDescent="0.3">
      <c r="A13" s="183" t="s">
        <v>210</v>
      </c>
      <c r="B13" s="189">
        <v>788.09</v>
      </c>
      <c r="C13" s="189">
        <v>7863.4</v>
      </c>
      <c r="D13" s="189">
        <v>4162.82</v>
      </c>
      <c r="E13" s="189">
        <f t="shared" ref="E13:E22" ca="1" si="0">AVERAGE(B13:E13)</f>
        <v>4271.4366666666665</v>
      </c>
    </row>
    <row r="14" spans="1:7" ht="17.100000000000001" customHeight="1" x14ac:dyDescent="0.3">
      <c r="A14" s="183" t="s">
        <v>211</v>
      </c>
      <c r="B14" s="189">
        <v>234.01</v>
      </c>
      <c r="C14" s="189">
        <v>2420.1</v>
      </c>
      <c r="D14" s="189">
        <v>1308.97</v>
      </c>
      <c r="E14" s="189">
        <f t="shared" ca="1" si="0"/>
        <v>1321.0266666666666</v>
      </c>
    </row>
    <row r="15" spans="1:7" ht="17.100000000000001" customHeight="1" x14ac:dyDescent="0.3">
      <c r="A15" s="183" t="s">
        <v>212</v>
      </c>
      <c r="B15" s="189">
        <v>78.5</v>
      </c>
      <c r="C15" s="189">
        <v>2209.8000000000002</v>
      </c>
      <c r="D15" s="189">
        <v>1202.03</v>
      </c>
      <c r="E15" s="189">
        <f t="shared" ca="1" si="0"/>
        <v>1163.4433333333332</v>
      </c>
    </row>
    <row r="16" spans="1:7" ht="17.100000000000001" customHeight="1" x14ac:dyDescent="0.3">
      <c r="A16" s="183" t="s">
        <v>213</v>
      </c>
      <c r="B16" s="189">
        <v>37.01</v>
      </c>
      <c r="C16" s="189">
        <v>2115.8000000000002</v>
      </c>
      <c r="D16" s="189">
        <v>1176.81</v>
      </c>
      <c r="E16" s="189">
        <f t="shared" ca="1" si="0"/>
        <v>1109.8733333333334</v>
      </c>
    </row>
    <row r="17" spans="1:7" ht="17.100000000000001" customHeight="1" x14ac:dyDescent="0.3">
      <c r="A17" s="183" t="s">
        <v>214</v>
      </c>
      <c r="B17" s="189">
        <v>636.91999999999996</v>
      </c>
      <c r="C17" s="189">
        <v>11089.7</v>
      </c>
      <c r="D17" s="189">
        <v>6085.24</v>
      </c>
      <c r="E17" s="189">
        <f t="shared" ca="1" si="0"/>
        <v>5937.2866666666669</v>
      </c>
    </row>
    <row r="18" spans="1:7" ht="17.100000000000001" customHeight="1" x14ac:dyDescent="0.3">
      <c r="A18" s="183" t="s">
        <v>215</v>
      </c>
      <c r="B18" s="189">
        <v>408.81</v>
      </c>
      <c r="C18" s="189">
        <f>713.9</f>
        <v>713.9</v>
      </c>
      <c r="D18" s="189">
        <v>538.58000000000004</v>
      </c>
      <c r="E18" s="189">
        <f t="shared" ca="1" si="0"/>
        <v>553.76333333333332</v>
      </c>
    </row>
    <row r="19" spans="1:7" ht="17.100000000000001" customHeight="1" x14ac:dyDescent="0.3">
      <c r="A19" s="183" t="s">
        <v>217</v>
      </c>
      <c r="B19" s="189">
        <v>112.28</v>
      </c>
      <c r="C19" s="189">
        <v>1617.8</v>
      </c>
      <c r="D19" s="189">
        <v>3109.32</v>
      </c>
      <c r="E19" s="189">
        <f t="shared" ca="1" si="0"/>
        <v>1613.1333333333332</v>
      </c>
    </row>
    <row r="20" spans="1:7" ht="17.100000000000001" customHeight="1" x14ac:dyDescent="0.3">
      <c r="A20" s="183" t="s">
        <v>218</v>
      </c>
      <c r="B20" s="189">
        <v>93</v>
      </c>
      <c r="C20" s="189">
        <v>111</v>
      </c>
      <c r="D20" s="189">
        <v>259.27999999999997</v>
      </c>
      <c r="E20" s="189">
        <f t="shared" ca="1" si="0"/>
        <v>154.42666666666665</v>
      </c>
    </row>
    <row r="21" spans="1:7" ht="17.100000000000001" customHeight="1" x14ac:dyDescent="0.3">
      <c r="A21" s="183" t="s">
        <v>5</v>
      </c>
      <c r="B21" s="189">
        <v>124.8</v>
      </c>
      <c r="C21" s="189">
        <v>569.91</v>
      </c>
      <c r="D21" s="189">
        <v>284.95999999999998</v>
      </c>
      <c r="E21" s="189">
        <f t="shared" ca="1" si="0"/>
        <v>326.55666666666662</v>
      </c>
    </row>
    <row r="22" spans="1:7" ht="17.100000000000001" customHeight="1" x14ac:dyDescent="0.3">
      <c r="A22" s="183" t="s">
        <v>228</v>
      </c>
      <c r="B22" s="189">
        <f>B16/B20</f>
        <v>0.39795698924731182</v>
      </c>
      <c r="C22" s="189">
        <f t="shared" ref="C22:D22" si="1">C16/C20</f>
        <v>19.061261261261262</v>
      </c>
      <c r="D22" s="189">
        <f t="shared" si="1"/>
        <v>4.5387611848195002</v>
      </c>
      <c r="E22" s="189">
        <f t="shared" ca="1" si="0"/>
        <v>7.9993264784426916</v>
      </c>
    </row>
    <row r="23" spans="1:7" ht="17.100000000000001" customHeight="1" x14ac:dyDescent="0.3">
      <c r="A23" s="183" t="s">
        <v>219</v>
      </c>
      <c r="B23" s="189">
        <v>11590</v>
      </c>
      <c r="C23" s="189">
        <v>64130</v>
      </c>
      <c r="D23" s="189">
        <v>73880</v>
      </c>
      <c r="E23" s="187">
        <f>AVERAGE(B23:D23)</f>
        <v>49866.666666666664</v>
      </c>
    </row>
    <row r="24" spans="1:7" ht="17.100000000000001" customHeight="1" x14ac:dyDescent="0.3">
      <c r="A24" s="183" t="s">
        <v>4</v>
      </c>
      <c r="B24" s="189">
        <v>9637.42</v>
      </c>
      <c r="C24" s="189">
        <v>38031.46</v>
      </c>
      <c r="D24" s="189">
        <v>53063.48</v>
      </c>
      <c r="E24" s="187">
        <f>AVERAGE(B24:D24)</f>
        <v>33577.453333333331</v>
      </c>
    </row>
    <row r="25" spans="1:7" ht="17.100000000000001" customHeight="1" x14ac:dyDescent="0.3">
      <c r="B25" s="189"/>
      <c r="C25" s="189"/>
      <c r="D25" s="189"/>
      <c r="E25" s="187"/>
    </row>
    <row r="26" spans="1:7" ht="17.100000000000001" customHeight="1" x14ac:dyDescent="0.3">
      <c r="A26" s="183" t="s">
        <v>220</v>
      </c>
      <c r="B26" s="188">
        <f>B24/B13</f>
        <v>12.228831732416348</v>
      </c>
      <c r="C26" s="188">
        <f>C24/C13</f>
        <v>4.8365160108858767</v>
      </c>
      <c r="D26" s="188">
        <f>D24/D13</f>
        <v>12.747003233385064</v>
      </c>
      <c r="E26" s="188">
        <f>AVERAGE(B26:D26)</f>
        <v>9.9374503255624305</v>
      </c>
      <c r="G26" s="188"/>
    </row>
    <row r="27" spans="1:7" ht="17.100000000000001" customHeight="1" x14ac:dyDescent="0.3">
      <c r="A27" s="183" t="s">
        <v>221</v>
      </c>
      <c r="B27" s="188">
        <f>B24/B14</f>
        <v>41.183795564292126</v>
      </c>
      <c r="C27" s="188">
        <f>C24/C14</f>
        <v>15.714829965703897</v>
      </c>
      <c r="D27" s="188">
        <f>D24/D14</f>
        <v>40.538346944544188</v>
      </c>
      <c r="E27" s="188">
        <f>AVERAGE(B27:D27)</f>
        <v>32.47899082484674</v>
      </c>
      <c r="G27" s="188"/>
    </row>
    <row r="28" spans="1:7" ht="17.100000000000001" customHeight="1" x14ac:dyDescent="0.3">
      <c r="A28" s="183" t="s">
        <v>222</v>
      </c>
      <c r="B28" s="188">
        <f>B24/B15</f>
        <v>122.76968152866242</v>
      </c>
      <c r="C28" s="188">
        <f>C24/C15</f>
        <v>17.210362928771833</v>
      </c>
      <c r="D28" s="188">
        <f>D24/D15</f>
        <v>44.144888230743</v>
      </c>
      <c r="E28" s="188">
        <f>AVERAGE(B28:D28)</f>
        <v>61.374977562725746</v>
      </c>
      <c r="G28" s="188"/>
    </row>
    <row r="29" spans="1:7" ht="18" customHeight="1" x14ac:dyDescent="0.3">
      <c r="A29" s="401" t="s">
        <v>230</v>
      </c>
      <c r="B29" s="402"/>
      <c r="C29" s="402"/>
      <c r="D29" s="402"/>
      <c r="E29" s="403"/>
    </row>
    <row r="30" spans="1:7" ht="14.1" customHeight="1" x14ac:dyDescent="0.3">
      <c r="B30" s="389" t="s">
        <v>216</v>
      </c>
      <c r="C30" s="389" t="s">
        <v>231</v>
      </c>
      <c r="D30" s="389" t="s">
        <v>232</v>
      </c>
      <c r="E30" s="389" t="s">
        <v>233</v>
      </c>
    </row>
    <row r="31" spans="1:7" ht="14.1" customHeight="1" x14ac:dyDescent="0.3">
      <c r="B31" s="390"/>
      <c r="C31" s="390"/>
      <c r="D31" s="390"/>
      <c r="E31" s="390"/>
    </row>
    <row r="32" spans="1:7" ht="17.100000000000001" customHeight="1" x14ac:dyDescent="0.3">
      <c r="A32" s="183" t="s">
        <v>220</v>
      </c>
      <c r="B32" s="188">
        <f>E26</f>
        <v>9.9374503255624305</v>
      </c>
      <c r="C32" s="187">
        <f>B32*B3</f>
        <v>223085.822358551</v>
      </c>
      <c r="D32" s="187">
        <f>-'WACC &amp; Valuation'!B3</f>
        <v>-24593</v>
      </c>
      <c r="E32" s="188">
        <f>(C32+D32)/'Multiples based Valuation'!B9</f>
        <v>156.29356091224489</v>
      </c>
    </row>
    <row r="33" spans="1:5" ht="17.100000000000001" customHeight="1" x14ac:dyDescent="0.3">
      <c r="A33" s="183" t="s">
        <v>221</v>
      </c>
      <c r="B33" s="188">
        <f>E27</f>
        <v>32.47899082484674</v>
      </c>
      <c r="C33" s="187">
        <f>B33*B4</f>
        <v>285457.85035957798</v>
      </c>
      <c r="D33" s="187">
        <f>-'WACC &amp; Valuation'!B3</f>
        <v>-24593</v>
      </c>
      <c r="E33" s="188">
        <f>(C33+D33)/B9</f>
        <v>205.40539398391968</v>
      </c>
    </row>
    <row r="34" spans="1:5" ht="17.100000000000001" customHeight="1" x14ac:dyDescent="0.3">
      <c r="A34" s="183" t="s">
        <v>222</v>
      </c>
      <c r="B34" s="188">
        <f>E28</f>
        <v>61.374977562725746</v>
      </c>
      <c r="C34" s="187">
        <f>B34*B5</f>
        <v>263114.5288114053</v>
      </c>
      <c r="D34" s="187">
        <f>-'WACC &amp; Valuation'!B3</f>
        <v>-24593</v>
      </c>
      <c r="E34" s="188">
        <f>(C34+D34)/B9</f>
        <v>187.81222741055535</v>
      </c>
    </row>
    <row r="35" spans="1:5" ht="17.100000000000001" customHeight="1" x14ac:dyDescent="0.3">
      <c r="A35" s="190" t="s">
        <v>424</v>
      </c>
      <c r="B35" s="188"/>
      <c r="E35" s="191">
        <f>AVERAGE(E32:E34)</f>
        <v>183.17039410223995</v>
      </c>
    </row>
    <row r="36" spans="1:5" ht="17.100000000000001" customHeight="1" thickBot="1" x14ac:dyDescent="0.35">
      <c r="A36" s="190" t="s">
        <v>234</v>
      </c>
      <c r="B36" s="188"/>
      <c r="D36" s="188"/>
      <c r="E36" s="192">
        <f>'WACC &amp; Valuation'!F20</f>
        <v>139.80661220297284</v>
      </c>
    </row>
    <row r="37" spans="1:5" ht="17.100000000000001" customHeight="1" thickTop="1" x14ac:dyDescent="0.3">
      <c r="B37" s="188"/>
      <c r="D37" s="188"/>
    </row>
    <row r="38" spans="1:5" ht="17.100000000000001" customHeight="1" x14ac:dyDescent="0.3">
      <c r="A38" s="193" t="s">
        <v>235</v>
      </c>
    </row>
    <row r="39" spans="1:5" ht="14.1" customHeight="1" x14ac:dyDescent="0.3">
      <c r="A39" s="392" t="s">
        <v>236</v>
      </c>
      <c r="B39" s="393"/>
      <c r="C39" s="393"/>
      <c r="D39" s="393"/>
      <c r="E39" s="394"/>
    </row>
    <row r="40" spans="1:5" ht="14.1" customHeight="1" x14ac:dyDescent="0.3">
      <c r="A40" s="395"/>
      <c r="B40" s="396"/>
      <c r="C40" s="396"/>
      <c r="D40" s="396"/>
      <c r="E40" s="397"/>
    </row>
    <row r="41" spans="1:5" ht="14.1" customHeight="1" x14ac:dyDescent="0.3">
      <c r="A41" s="395"/>
      <c r="B41" s="396"/>
      <c r="C41" s="396"/>
      <c r="D41" s="396"/>
      <c r="E41" s="397"/>
    </row>
    <row r="42" spans="1:5" ht="14.1" customHeight="1" x14ac:dyDescent="0.3">
      <c r="A42" s="395"/>
      <c r="B42" s="396"/>
      <c r="C42" s="396"/>
      <c r="D42" s="396"/>
      <c r="E42" s="397"/>
    </row>
    <row r="43" spans="1:5" ht="14.1" customHeight="1" x14ac:dyDescent="0.3">
      <c r="A43" s="395"/>
      <c r="B43" s="396"/>
      <c r="C43" s="396"/>
      <c r="D43" s="396"/>
      <c r="E43" s="397"/>
    </row>
    <row r="44" spans="1:5" ht="14.1" customHeight="1" x14ac:dyDescent="0.3">
      <c r="A44" s="398"/>
      <c r="B44" s="399"/>
      <c r="C44" s="399"/>
      <c r="D44" s="399"/>
      <c r="E44" s="400"/>
    </row>
  </sheetData>
  <mergeCells count="11">
    <mergeCell ref="A39:E44"/>
    <mergeCell ref="A29:E29"/>
    <mergeCell ref="B30:B31"/>
    <mergeCell ref="C30:C31"/>
    <mergeCell ref="D30:D31"/>
    <mergeCell ref="E30:E31"/>
    <mergeCell ref="B11:B12"/>
    <mergeCell ref="D11:D12"/>
    <mergeCell ref="E11:E12"/>
    <mergeCell ref="A11:A12"/>
    <mergeCell ref="C11:C1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02871-6043-4602-AFDF-D9B8BA19DF06}">
  <sheetPr codeName="Sheet12">
    <pageSetUpPr fitToPage="1"/>
  </sheetPr>
  <dimension ref="A1:K11"/>
  <sheetViews>
    <sheetView showGridLines="0" zoomScale="80" zoomScaleNormal="80" workbookViewId="0"/>
  </sheetViews>
  <sheetFormatPr defaultColWidth="9.140625" defaultRowHeight="16.5" x14ac:dyDescent="0.3"/>
  <cols>
    <col min="1" max="1" width="60.140625" style="7" bestFit="1" customWidth="1"/>
    <col min="2" max="11" width="10.7109375" style="7" customWidth="1"/>
    <col min="12" max="16384" width="9.140625" style="7"/>
  </cols>
  <sheetData>
    <row r="1" spans="1:11" x14ac:dyDescent="0.3">
      <c r="A1" s="27" t="s">
        <v>98</v>
      </c>
      <c r="B1" s="23" t="s">
        <v>96</v>
      </c>
      <c r="C1" s="52"/>
      <c r="D1" s="52"/>
      <c r="E1" s="52"/>
      <c r="F1" s="52"/>
      <c r="G1" s="53" t="s">
        <v>97</v>
      </c>
      <c r="H1" s="53"/>
      <c r="I1" s="53"/>
      <c r="J1" s="53"/>
      <c r="K1" s="53"/>
    </row>
    <row r="2" spans="1:11" ht="20.25" x14ac:dyDescent="0.3">
      <c r="A2" s="22" t="s">
        <v>241</v>
      </c>
      <c r="B2" s="197">
        <v>2015</v>
      </c>
      <c r="C2" s="197">
        <v>2016</v>
      </c>
      <c r="D2" s="197">
        <v>2017</v>
      </c>
      <c r="E2" s="197">
        <v>2018</v>
      </c>
      <c r="F2" s="197">
        <v>2019</v>
      </c>
      <c r="G2" s="198">
        <v>2020</v>
      </c>
      <c r="H2" s="198">
        <v>2021</v>
      </c>
      <c r="I2" s="198">
        <v>2022</v>
      </c>
      <c r="J2" s="198">
        <v>2023</v>
      </c>
      <c r="K2" s="198">
        <v>2024</v>
      </c>
    </row>
    <row r="3" spans="1:11" ht="16.7" customHeight="1" x14ac:dyDescent="0.3">
      <c r="A3" s="246" t="s">
        <v>238</v>
      </c>
      <c r="B3" s="44">
        <v>4938.78</v>
      </c>
      <c r="C3" s="44">
        <v>4646.67</v>
      </c>
      <c r="D3" s="44">
        <v>6004.61</v>
      </c>
      <c r="E3" s="44">
        <v>6685.8</v>
      </c>
      <c r="F3" s="44">
        <v>7833.36</v>
      </c>
      <c r="G3" s="61">
        <f>G6*$G$9</f>
        <v>8367.3340400000016</v>
      </c>
      <c r="H3" s="61">
        <f t="shared" ref="H3:K3" si="0">H6*$G$9</f>
        <v>9245.9041142000024</v>
      </c>
      <c r="I3" s="61">
        <f t="shared" si="0"/>
        <v>10216.724046191002</v>
      </c>
      <c r="J3" s="61">
        <f t="shared" si="0"/>
        <v>11289.480071041056</v>
      </c>
      <c r="K3" s="61">
        <f t="shared" si="0"/>
        <v>12474.875478500368</v>
      </c>
    </row>
    <row r="4" spans="1:11" ht="16.7" customHeight="1" x14ac:dyDescent="0.3">
      <c r="A4" s="246" t="s">
        <v>239</v>
      </c>
      <c r="B4" s="44">
        <v>4714.29</v>
      </c>
      <c r="C4" s="44">
        <v>4425.3999999999996</v>
      </c>
      <c r="D4" s="44">
        <v>5221.3999999999996</v>
      </c>
      <c r="E4" s="44">
        <v>5470.2</v>
      </c>
      <c r="F4" s="44">
        <v>6201.41</v>
      </c>
      <c r="G4" s="61">
        <f>G6*$G$10</f>
        <v>6787.9997399500016</v>
      </c>
      <c r="H4" s="61">
        <f t="shared" ref="H4:K4" si="1">H6*$G$10</f>
        <v>7500.7397126447513</v>
      </c>
      <c r="I4" s="61">
        <f t="shared" si="1"/>
        <v>8288.3173824724508</v>
      </c>
      <c r="J4" s="61">
        <f t="shared" si="1"/>
        <v>9158.5907076320582</v>
      </c>
      <c r="K4" s="61">
        <f t="shared" si="1"/>
        <v>10120.242731933422</v>
      </c>
    </row>
    <row r="5" spans="1:11" ht="16.7" customHeight="1" x14ac:dyDescent="0.3">
      <c r="A5" s="246" t="s">
        <v>240</v>
      </c>
      <c r="B5" s="44">
        <v>4714.29</v>
      </c>
      <c r="C5" s="44">
        <v>4646.67</v>
      </c>
      <c r="D5" s="44">
        <v>4960.33</v>
      </c>
      <c r="E5" s="44">
        <v>4862.3999999999996</v>
      </c>
      <c r="F5" s="44">
        <v>4895.8500000000004</v>
      </c>
      <c r="G5" s="61">
        <f>G6*$G$11</f>
        <v>5763.0013200500016</v>
      </c>
      <c r="H5" s="61">
        <f t="shared" ref="H5:K5" si="2">H6*$G$11</f>
        <v>6368.1164586552513</v>
      </c>
      <c r="I5" s="61">
        <f t="shared" si="2"/>
        <v>7036.7686868140527</v>
      </c>
      <c r="J5" s="61">
        <f t="shared" si="2"/>
        <v>7775.6293989295282</v>
      </c>
      <c r="K5" s="61">
        <f t="shared" si="2"/>
        <v>8592.0704858171284</v>
      </c>
    </row>
    <row r="6" spans="1:11" ht="16.7" customHeight="1" thickBot="1" x14ac:dyDescent="0.35">
      <c r="A6" s="246"/>
      <c r="B6" s="245">
        <f>SUM(B3:B5)</f>
        <v>14367.36</v>
      </c>
      <c r="C6" s="195">
        <f t="shared" ref="C6:F6" si="3">SUM(C3:C5)</f>
        <v>13718.74</v>
      </c>
      <c r="D6" s="195">
        <f t="shared" si="3"/>
        <v>16186.339999999998</v>
      </c>
      <c r="E6" s="195">
        <f t="shared" si="3"/>
        <v>17018.400000000001</v>
      </c>
      <c r="F6" s="195">
        <f t="shared" si="3"/>
        <v>18930.620000000003</v>
      </c>
      <c r="G6" s="196">
        <f>F6*(1+$G$7)</f>
        <v>20918.335100000004</v>
      </c>
      <c r="H6" s="64">
        <f t="shared" ref="H6:K6" si="4">G6*(1+$G$7)</f>
        <v>23114.760285500004</v>
      </c>
      <c r="I6" s="64">
        <f t="shared" si="4"/>
        <v>25541.810115477503</v>
      </c>
      <c r="J6" s="64">
        <f t="shared" si="4"/>
        <v>28223.700177602641</v>
      </c>
      <c r="K6" s="64">
        <f t="shared" si="4"/>
        <v>31187.188696250916</v>
      </c>
    </row>
    <row r="7" spans="1:11" ht="16.7" customHeight="1" thickTop="1" x14ac:dyDescent="0.3">
      <c r="A7" s="247" t="s">
        <v>242</v>
      </c>
      <c r="C7" s="128">
        <f>(C6-B6)/B6</f>
        <v>-4.5145385095104511E-2</v>
      </c>
      <c r="D7" s="128">
        <f t="shared" ref="D7:F7" si="5">(D6-C6)/C6</f>
        <v>0.17987074614724083</v>
      </c>
      <c r="E7" s="128">
        <f t="shared" si="5"/>
        <v>5.140507366087721E-2</v>
      </c>
      <c r="F7" s="128">
        <f t="shared" si="5"/>
        <v>0.11236191416349368</v>
      </c>
      <c r="G7" s="128">
        <v>0.105</v>
      </c>
    </row>
    <row r="8" spans="1:11" ht="16.7" customHeight="1" x14ac:dyDescent="0.3">
      <c r="A8" s="247" t="s">
        <v>79</v>
      </c>
    </row>
    <row r="9" spans="1:11" x14ac:dyDescent="0.3">
      <c r="A9" s="246" t="s">
        <v>238</v>
      </c>
      <c r="B9" s="128">
        <f>B3/B6</f>
        <v>0.34374999999999994</v>
      </c>
      <c r="C9" s="128">
        <f t="shared" ref="C9:F9" si="6">C3/C6</f>
        <v>0.33870967741935487</v>
      </c>
      <c r="D9" s="128">
        <f t="shared" si="6"/>
        <v>0.37096774193548387</v>
      </c>
      <c r="E9" s="128">
        <f t="shared" si="6"/>
        <v>0.39285714285714285</v>
      </c>
      <c r="F9" s="128">
        <f t="shared" si="6"/>
        <v>0.4137931034482758</v>
      </c>
      <c r="G9" s="7">
        <v>0.4</v>
      </c>
    </row>
    <row r="10" spans="1:11" x14ac:dyDescent="0.3">
      <c r="A10" s="246" t="s">
        <v>239</v>
      </c>
      <c r="B10" s="128">
        <f>B4/B6</f>
        <v>0.328125</v>
      </c>
      <c r="C10" s="128">
        <f t="shared" ref="C10:F10" si="7">C4/C6</f>
        <v>0.32258064516129031</v>
      </c>
      <c r="D10" s="128">
        <f t="shared" si="7"/>
        <v>0.32258064516129031</v>
      </c>
      <c r="E10" s="128">
        <f t="shared" si="7"/>
        <v>0.3214285714285714</v>
      </c>
      <c r="F10" s="128">
        <f t="shared" si="7"/>
        <v>0.32758620689655166</v>
      </c>
      <c r="G10" s="7">
        <v>0.32450000000000001</v>
      </c>
    </row>
    <row r="11" spans="1:11" x14ac:dyDescent="0.3">
      <c r="A11" s="246" t="s">
        <v>240</v>
      </c>
      <c r="B11" s="128">
        <f>B5/B6</f>
        <v>0.328125</v>
      </c>
      <c r="C11" s="128">
        <f t="shared" ref="C11:F11" si="8">C5/C6</f>
        <v>0.33870967741935487</v>
      </c>
      <c r="D11" s="128">
        <f t="shared" si="8"/>
        <v>0.30645161290322581</v>
      </c>
      <c r="E11" s="128">
        <f t="shared" si="8"/>
        <v>0.28571428571428564</v>
      </c>
      <c r="F11" s="128">
        <f t="shared" si="8"/>
        <v>0.25862068965517238</v>
      </c>
      <c r="G11" s="7">
        <v>0.27550000000000002</v>
      </c>
    </row>
  </sheetData>
  <pageMargins left="0.5" right="0.5" top="1" bottom="1" header="0.5" footer="0.75"/>
  <pageSetup fitToHeight="0"/>
  <ignoredErrors>
    <ignoredError sqref="B6:F6" formulaRange="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2B8B2-B0E0-4470-A85A-3CC4B1E8AFF6}">
  <sheetPr codeName="Sheet4"/>
  <dimension ref="A1:M34"/>
  <sheetViews>
    <sheetView showGridLines="0" zoomScale="80" zoomScaleNormal="80" workbookViewId="0">
      <selection sqref="A1:B1"/>
    </sheetView>
  </sheetViews>
  <sheetFormatPr defaultColWidth="9.140625" defaultRowHeight="16.5" x14ac:dyDescent="0.3"/>
  <cols>
    <col min="1" max="1" width="15.140625" style="7" bestFit="1" customWidth="1"/>
    <col min="2" max="2" width="23" style="7" bestFit="1" customWidth="1"/>
    <col min="3" max="3" width="0" style="7" hidden="1" customWidth="1"/>
    <col min="4" max="16384" width="9.140625" style="7"/>
  </cols>
  <sheetData>
    <row r="1" spans="1:13" ht="16.5" customHeight="1" x14ac:dyDescent="0.3">
      <c r="A1" s="404" t="s">
        <v>98</v>
      </c>
      <c r="B1" s="404"/>
      <c r="C1" s="406" t="s">
        <v>328</v>
      </c>
      <c r="D1" s="406"/>
      <c r="E1" s="406"/>
      <c r="F1" s="406"/>
      <c r="G1" s="406"/>
      <c r="H1" s="406"/>
      <c r="I1" s="354" t="s">
        <v>329</v>
      </c>
      <c r="J1" s="354"/>
      <c r="K1" s="354"/>
      <c r="L1" s="354"/>
      <c r="M1" s="354"/>
    </row>
    <row r="2" spans="1:13" ht="20.25" x14ac:dyDescent="0.3">
      <c r="A2" s="405" t="s">
        <v>327</v>
      </c>
      <c r="B2" s="405"/>
      <c r="C2" s="26">
        <v>2014</v>
      </c>
      <c r="D2" s="26">
        <v>2015</v>
      </c>
      <c r="E2" s="26">
        <v>2016</v>
      </c>
      <c r="F2" s="26">
        <v>2017</v>
      </c>
      <c r="G2" s="26">
        <v>2018</v>
      </c>
      <c r="H2" s="26">
        <v>2019</v>
      </c>
      <c r="I2" s="28">
        <v>2020</v>
      </c>
      <c r="J2" s="28">
        <v>2021</v>
      </c>
      <c r="K2" s="28">
        <v>2022</v>
      </c>
      <c r="L2" s="28">
        <v>2023</v>
      </c>
      <c r="M2" s="28">
        <v>2024</v>
      </c>
    </row>
    <row r="3" spans="1:13" x14ac:dyDescent="0.3">
      <c r="A3" s="261" t="s">
        <v>314</v>
      </c>
      <c r="B3" s="262"/>
    </row>
    <row r="4" spans="1:13" x14ac:dyDescent="0.3">
      <c r="A4" s="261"/>
      <c r="B4" s="263" t="s">
        <v>315</v>
      </c>
      <c r="C4" s="264">
        <f>'Balance Sheet'!B11/'Balance Sheet'!B26</f>
        <v>3.0748134004513106</v>
      </c>
      <c r="D4" s="264">
        <f>'Balance Sheet'!C11/'Balance Sheet'!C26</f>
        <v>2.4200202224469161</v>
      </c>
      <c r="E4" s="264">
        <f>'Balance Sheet'!D11/'Balance Sheet'!D26</f>
        <v>2.1249728791494902</v>
      </c>
      <c r="F4" s="264">
        <f>'Balance Sheet'!E11/'Balance Sheet'!E26</f>
        <v>2.735109583154276</v>
      </c>
      <c r="G4" s="264">
        <f>'Balance Sheet'!F11/'Balance Sheet'!F26</f>
        <v>3.3791607732201792</v>
      </c>
      <c r="H4" s="264">
        <f>'Balance Sheet'!G11/'Balance Sheet'!G26</f>
        <v>3.1044164361102573</v>
      </c>
      <c r="I4" s="303">
        <f>'Balance Sheet'!H11/'Balance Sheet'!H26</f>
        <v>3.0769230769230766</v>
      </c>
      <c r="J4" s="303">
        <f>'Balance Sheet'!I11/'Balance Sheet'!I26</f>
        <v>3.0769230769230771</v>
      </c>
      <c r="K4" s="303">
        <f>'Balance Sheet'!J11/'Balance Sheet'!J26</f>
        <v>3.0769230769230766</v>
      </c>
      <c r="L4" s="303">
        <f>'Balance Sheet'!K11/'Balance Sheet'!K26</f>
        <v>3.0769230769230771</v>
      </c>
      <c r="M4" s="303">
        <f>'Balance Sheet'!L11/'Balance Sheet'!L26</f>
        <v>3.0769230769230771</v>
      </c>
    </row>
    <row r="5" spans="1:13" x14ac:dyDescent="0.3">
      <c r="A5" s="261"/>
      <c r="B5" s="263" t="s">
        <v>316</v>
      </c>
      <c r="C5" s="264">
        <f>('Balance Sheet'!B11-'Balance Sheet'!B9)/'Balance Sheet'!B26</f>
        <v>2.8342301683735465</v>
      </c>
      <c r="D5" s="264">
        <f>('Balance Sheet'!C11-'Balance Sheet'!C9)/'Balance Sheet'!C26</f>
        <v>2.222345803842265</v>
      </c>
      <c r="E5" s="264">
        <f>('Balance Sheet'!D11-'Balance Sheet'!D9)/'Balance Sheet'!D26</f>
        <v>1.9528097201128227</v>
      </c>
      <c r="F5" s="264">
        <f>('Balance Sheet'!E11-'Balance Sheet'!E9)/'Balance Sheet'!E26</f>
        <v>2.6662655779974216</v>
      </c>
      <c r="G5" s="264">
        <f>('Balance Sheet'!F11-'Balance Sheet'!F9)/'Balance Sheet'!F26</f>
        <v>3.3024045261669026</v>
      </c>
      <c r="H5" s="264">
        <f>('Balance Sheet'!G11-'Balance Sheet'!G9)/'Balance Sheet'!G26</f>
        <v>3.0099395429859617</v>
      </c>
      <c r="I5" s="303">
        <f>('Balance Sheet'!H11-'Balance Sheet'!H9)/'Balance Sheet'!H26</f>
        <v>3.0562401724636152</v>
      </c>
      <c r="J5" s="303">
        <f>('Balance Sheet'!I11-'Balance Sheet'!I9)/'Balance Sheet'!I26</f>
        <v>3.0294912117923216</v>
      </c>
      <c r="K5" s="303">
        <f>('Balance Sheet'!J11-'Balance Sheet'!J9)/'Balance Sheet'!J26</f>
        <v>2.8975864682541923</v>
      </c>
      <c r="L5" s="303">
        <f>('Balance Sheet'!K11-'Balance Sheet'!K9)/'Balance Sheet'!K26</f>
        <v>2.7970531052272891</v>
      </c>
      <c r="M5" s="303">
        <f>('Balance Sheet'!L11-'Balance Sheet'!L9)/'Balance Sheet'!L26</f>
        <v>2.9176006299030424</v>
      </c>
    </row>
    <row r="6" spans="1:13" x14ac:dyDescent="0.3">
      <c r="A6" s="261"/>
      <c r="B6" s="263" t="s">
        <v>317</v>
      </c>
      <c r="C6" s="264">
        <f>'Balance Sheet'!B6/'Balance Sheet'!B26</f>
        <v>1.7404964415900017</v>
      </c>
      <c r="D6" s="264">
        <f>'Balance Sheet'!C6/'Balance Sheet'!C26</f>
        <v>1.2993933265925177</v>
      </c>
      <c r="E6" s="264">
        <f>'Balance Sheet'!D6/'Balance Sheet'!D26</f>
        <v>0.89270991538294642</v>
      </c>
      <c r="F6" s="264">
        <f>'Balance Sheet'!E6/'Balance Sheet'!E26</f>
        <v>0.6521701761925226</v>
      </c>
      <c r="G6" s="264">
        <f>'Balance Sheet'!F6/'Balance Sheet'!F26</f>
        <v>1.6916548797736917</v>
      </c>
      <c r="H6" s="264">
        <f>'Balance Sheet'!G6/'Balance Sheet'!G26</f>
        <v>1.1918229326775285</v>
      </c>
      <c r="I6" s="303">
        <f>'Balance Sheet'!H6/'Balance Sheet'!H26</f>
        <v>1.3721376083610515</v>
      </c>
      <c r="J6" s="303">
        <f>'Balance Sheet'!I6/'Balance Sheet'!I26</f>
        <v>1.2592348015359112</v>
      </c>
      <c r="K6" s="303">
        <f>'Balance Sheet'!J6/'Balance Sheet'!J26</f>
        <v>1.1273300579977825</v>
      </c>
      <c r="L6" s="303">
        <f>'Balance Sheet'!K6/'Balance Sheet'!K26</f>
        <v>1.1273095154836994</v>
      </c>
      <c r="M6" s="303">
        <f>'Balance Sheet'!L6/'Balance Sheet'!L26</f>
        <v>1.2478570401594526</v>
      </c>
    </row>
    <row r="7" spans="1:13" x14ac:dyDescent="0.3">
      <c r="A7" s="261" t="s">
        <v>318</v>
      </c>
      <c r="B7" s="262"/>
      <c r="C7" s="264"/>
      <c r="D7" s="264"/>
      <c r="E7" s="264"/>
      <c r="F7" s="264"/>
      <c r="G7" s="264"/>
      <c r="H7" s="264"/>
      <c r="I7" s="303"/>
      <c r="J7" s="303"/>
      <c r="K7" s="303"/>
      <c r="L7" s="303"/>
      <c r="M7" s="303"/>
    </row>
    <row r="8" spans="1:13" x14ac:dyDescent="0.3">
      <c r="A8" s="261"/>
      <c r="B8" s="263" t="s">
        <v>319</v>
      </c>
      <c r="C8" s="264">
        <f>('Balance Sheet'!B27+'Balance Sheet'!B25)/'Balance Sheet'!B19</f>
        <v>0.3578352180936995</v>
      </c>
      <c r="D8" s="264">
        <f>('Balance Sheet'!C27+'Balance Sheet'!C25)/'Balance Sheet'!C19</f>
        <v>0.42646376363214478</v>
      </c>
      <c r="E8" s="264">
        <f>('Balance Sheet'!D27+'Balance Sheet'!D25)/'Balance Sheet'!D19</f>
        <v>0.46240522325189554</v>
      </c>
      <c r="F8" s="264">
        <f>('Balance Sheet'!E27+'Balance Sheet'!E25)/'Balance Sheet'!E19</f>
        <v>0.47724200731329053</v>
      </c>
      <c r="G8" s="264">
        <f>('Balance Sheet'!F27+'Balance Sheet'!F25)/'Balance Sheet'!F19</f>
        <v>0.42908519827247743</v>
      </c>
      <c r="H8" s="264">
        <f>('Balance Sheet'!G27+'Balance Sheet'!G25)/'Balance Sheet'!G19</f>
        <v>0.39906209940448178</v>
      </c>
      <c r="I8" s="303">
        <f>('Balance Sheet'!H27+'Balance Sheet'!H25)/'Balance Sheet'!H19</f>
        <v>0.43900000000000006</v>
      </c>
      <c r="J8" s="303">
        <f>('Balance Sheet'!I27+'Balance Sheet'!I25)/'Balance Sheet'!I19</f>
        <v>0.43899999999999995</v>
      </c>
      <c r="K8" s="303">
        <f>('Balance Sheet'!J27+'Balance Sheet'!J25)/'Balance Sheet'!J19</f>
        <v>0.439</v>
      </c>
      <c r="L8" s="303">
        <f>('Balance Sheet'!K27+'Balance Sheet'!K25)/'Balance Sheet'!K19</f>
        <v>0.43899999999999995</v>
      </c>
      <c r="M8" s="303">
        <f>('Balance Sheet'!L27+'Balance Sheet'!L25)/'Balance Sheet'!L19</f>
        <v>0.43899999999999995</v>
      </c>
    </row>
    <row r="9" spans="1:13" x14ac:dyDescent="0.3">
      <c r="A9" s="261"/>
      <c r="B9" s="263" t="s">
        <v>320</v>
      </c>
      <c r="C9" s="264">
        <f>('Balance Sheet'!B27+'Balance Sheet'!B25)/'Balance Sheet'!B36</f>
        <v>0.80409697912615063</v>
      </c>
      <c r="D9" s="264">
        <f>('Balance Sheet'!C27+'Balance Sheet'!C25)/'Balance Sheet'!C36</f>
        <v>1.1898467846353042</v>
      </c>
      <c r="E9" s="264">
        <f>('Balance Sheet'!D27+'Balance Sheet'!D25)/'Balance Sheet'!D36</f>
        <v>1.3949277280669243</v>
      </c>
      <c r="F9" s="264">
        <f>('Balance Sheet'!E27+'Balance Sheet'!E25)/'Balance Sheet'!E36</f>
        <v>1.6408374914391939</v>
      </c>
      <c r="G9" s="264">
        <f>('Balance Sheet'!F27+'Balance Sheet'!F25)/'Balance Sheet'!F36</f>
        <v>1.2775050264179175</v>
      </c>
      <c r="H9" s="264">
        <f>('Balance Sheet'!G27+'Balance Sheet'!G25)/'Balance Sheet'!G36</f>
        <v>1.0918091009988902</v>
      </c>
      <c r="I9" s="303">
        <f ca="1">('Balance Sheet'!H27+'Balance Sheet'!H25)/'Balance Sheet'!H36</f>
        <v>0.9416127050950921</v>
      </c>
      <c r="J9" s="303">
        <f ca="1">('Balance Sheet'!I27+'Balance Sheet'!I25)/'Balance Sheet'!I36</f>
        <v>0.77214912342963982</v>
      </c>
      <c r="K9" s="303">
        <f ca="1">('Balance Sheet'!J27+'Balance Sheet'!J25)/'Balance Sheet'!J36</f>
        <v>0.79302583612355015</v>
      </c>
      <c r="L9" s="303">
        <f ca="1">('Balance Sheet'!K27+'Balance Sheet'!K25)/'Balance Sheet'!K36</f>
        <v>0.86360277614573799</v>
      </c>
      <c r="M9" s="303">
        <f ca="1">('Balance Sheet'!L27+'Balance Sheet'!L25)/'Balance Sheet'!L36</f>
        <v>0.7434588561404446</v>
      </c>
    </row>
    <row r="10" spans="1:13" x14ac:dyDescent="0.3">
      <c r="A10" s="261"/>
      <c r="B10" s="263" t="s">
        <v>321</v>
      </c>
      <c r="C10" s="264">
        <f>'Income Statement'!B12/-'Income Statement'!B13</f>
        <v>32.257267441860463</v>
      </c>
      <c r="D10" s="264">
        <f>'Income Statement'!B12/-'Income Statement'!B13</f>
        <v>32.257267441860463</v>
      </c>
      <c r="E10" s="264">
        <f>'Income Statement'!C12/-'Income Statement'!C13</f>
        <v>18.29149377593361</v>
      </c>
      <c r="F10" s="264">
        <f>'Income Statement'!D12/-'Income Statement'!D13</f>
        <v>12.633273703041144</v>
      </c>
      <c r="G10" s="264">
        <f>'Income Statement'!E12/-'Income Statement'!E13</f>
        <v>7.6137418755803159</v>
      </c>
      <c r="H10" s="264">
        <f>'Income Statement'!F12/-'Income Statement'!F13</f>
        <v>4.3085427135678396</v>
      </c>
      <c r="I10" s="303">
        <f>'Income Statement'!G12/-'Income Statement'!G13</f>
        <v>-8.7319665907365245</v>
      </c>
      <c r="J10" s="303">
        <f>'Income Statement'!H12/-'Income Statement'!H13</f>
        <v>-11.00987091875475</v>
      </c>
      <c r="K10" s="303">
        <f>'Income Statement'!I12/-'Income Statement'!I13</f>
        <v>-11.009870918754743</v>
      </c>
      <c r="L10" s="303">
        <f>'Income Statement'!J12/-'Income Statement'!J13</f>
        <v>-8.3523158694001545</v>
      </c>
      <c r="M10" s="303">
        <f>'Income Statement'!K12/-'Income Statement'!K13</f>
        <v>-8.3523158694001562</v>
      </c>
    </row>
    <row r="11" spans="1:13" x14ac:dyDescent="0.3">
      <c r="A11" s="261" t="s">
        <v>322</v>
      </c>
      <c r="B11" s="262"/>
      <c r="C11" s="264"/>
      <c r="D11" s="264"/>
      <c r="E11" s="264"/>
      <c r="F11" s="264"/>
      <c r="G11" s="264"/>
      <c r="H11" s="264"/>
      <c r="I11" s="303"/>
      <c r="J11" s="303"/>
      <c r="K11" s="303"/>
      <c r="L11" s="303"/>
      <c r="M11" s="303"/>
    </row>
    <row r="12" spans="1:13" x14ac:dyDescent="0.3">
      <c r="A12" s="261"/>
      <c r="B12" s="263" t="s">
        <v>323</v>
      </c>
      <c r="C12" s="264"/>
      <c r="D12" s="302">
        <f>'Income Statement'!B12/'Income Statement'!B6</f>
        <v>0.67995342994577035</v>
      </c>
      <c r="E12" s="302">
        <f>'Income Statement'!C12/'Income Statement'!C6</f>
        <v>0.58022375781507074</v>
      </c>
      <c r="F12" s="302">
        <f>'Income Statement'!D12/'Income Statement'!D6</f>
        <v>0.54100432834105794</v>
      </c>
      <c r="G12" s="302">
        <f>'Income Statement'!E12/'Income Statement'!E6</f>
        <v>0.37058796944908934</v>
      </c>
      <c r="H12" s="302">
        <f>'Income Statement'!F12/'Income Statement'!F6</f>
        <v>0.19096619003073634</v>
      </c>
      <c r="I12" s="304">
        <f>'Income Statement'!G12/'Income Statement'!G6</f>
        <v>0.3000000000000001</v>
      </c>
      <c r="J12" s="304">
        <f>'Income Statement'!H12/'Income Statement'!H6</f>
        <v>0.3000000000000001</v>
      </c>
      <c r="K12" s="304">
        <f>'Income Statement'!I12/'Income Statement'!I6</f>
        <v>0.3</v>
      </c>
      <c r="L12" s="304">
        <f>'Income Statement'!J12/'Income Statement'!J6</f>
        <v>0.30000000000000004</v>
      </c>
      <c r="M12" s="304">
        <f>'Income Statement'!K12/'Income Statement'!K6</f>
        <v>0.30000000000000004</v>
      </c>
    </row>
    <row r="13" spans="1:13" x14ac:dyDescent="0.3">
      <c r="A13" s="261"/>
      <c r="B13" s="263" t="s">
        <v>324</v>
      </c>
      <c r="C13" s="264"/>
      <c r="D13" s="302">
        <f>'Income Statement'!B17/'Income Statement'!B6</f>
        <v>0.55473513281656917</v>
      </c>
      <c r="E13" s="302">
        <f>'Income Statement'!C17/'Income Statement'!C6</f>
        <v>0.44383020730503453</v>
      </c>
      <c r="F13" s="302">
        <f>'Income Statement'!D17/'Income Statement'!D6</f>
        <v>0.17788332631095108</v>
      </c>
      <c r="G13" s="302">
        <f>'Income Statement'!E17/'Income Statement'!E6</f>
        <v>0.24675735526732046</v>
      </c>
      <c r="H13" s="302">
        <f>'Income Statement'!F17/'Income Statement'!F6</f>
        <v>0.23894160096218095</v>
      </c>
      <c r="I13" s="304">
        <f>'Income Statement'!G17/'Income Statement'!G6</f>
        <v>0.31391165217391309</v>
      </c>
      <c r="J13" s="304">
        <f>'Income Statement'!H17/'Income Statement'!H6</f>
        <v>0.30829613793103455</v>
      </c>
      <c r="K13" s="304">
        <f>'Income Statement'!I17/'Income Statement'!I6</f>
        <v>0.3082961379310345</v>
      </c>
      <c r="L13" s="304">
        <f>'Income Statement'!J17/'Income Statement'!J6</f>
        <v>0.31514536363636364</v>
      </c>
      <c r="M13" s="304">
        <f>'Income Statement'!K17/'Income Statement'!K6</f>
        <v>0.31514536363636364</v>
      </c>
    </row>
    <row r="14" spans="1:13" x14ac:dyDescent="0.3">
      <c r="A14" s="261"/>
      <c r="B14" s="263" t="s">
        <v>325</v>
      </c>
      <c r="C14" s="264"/>
      <c r="D14" s="264">
        <f>'Income Statement'!B17/AVERAGE('Balance Sheet'!B19:C19)</f>
        <v>0.41921741143783281</v>
      </c>
      <c r="E14" s="264">
        <f>'Income Statement'!C17/AVERAGE('Balance Sheet'!C19:D19)</f>
        <v>0.2481875391013138</v>
      </c>
      <c r="F14" s="264">
        <f>'Income Statement'!D17/AVERAGE('Balance Sheet'!D19:E19)</f>
        <v>7.2985014812311899E-2</v>
      </c>
      <c r="G14" s="264">
        <f>'Income Statement'!E17/AVERAGE('Balance Sheet'!E19:F19)</f>
        <v>8.1518087758849792E-2</v>
      </c>
      <c r="H14" s="264">
        <f>'Income Statement'!F17/AVERAGE('Balance Sheet'!F19:G19)</f>
        <v>8.5617148968093082E-2</v>
      </c>
      <c r="I14" s="303">
        <f>'Income Statement'!G17/AVERAGE('Balance Sheet'!G19:H19)</f>
        <v>0.12566956257230141</v>
      </c>
      <c r="J14" s="303">
        <f>'Income Statement'!H17/AVERAGE('Balance Sheet'!H19:I19)</f>
        <v>0.15940583255813956</v>
      </c>
      <c r="K14" s="303">
        <f>'Income Statement'!I17/AVERAGE('Balance Sheet'!I19:J19)</f>
        <v>0.17637894693877551</v>
      </c>
      <c r="L14" s="303">
        <f>'Income Statement'!J17/AVERAGE('Balance Sheet'!J19:K19)</f>
        <v>0.13677737551020408</v>
      </c>
      <c r="M14" s="303">
        <f>'Income Statement'!K17/AVERAGE('Balance Sheet'!K19:L19)</f>
        <v>0.12105583809523812</v>
      </c>
    </row>
    <row r="15" spans="1:13" x14ac:dyDescent="0.3">
      <c r="A15" s="261"/>
      <c r="B15" s="263" t="s">
        <v>326</v>
      </c>
      <c r="C15" s="264"/>
      <c r="D15" s="264">
        <f>'Income Statement'!B17/'Balance Sheet'!C36</f>
        <v>0.97680189900733705</v>
      </c>
      <c r="E15" s="264">
        <f>'Income Statement'!C17/'Balance Sheet'!D36</f>
        <v>0.71414200243553771</v>
      </c>
      <c r="F15" s="264">
        <f>'Income Statement'!D17/'Balance Sheet'!E36</f>
        <v>0.22717933665981802</v>
      </c>
      <c r="G15" s="264">
        <f>'Income Statement'!E17/'Balance Sheet'!F36</f>
        <v>0.25529527282928882</v>
      </c>
      <c r="H15" s="264">
        <f>'Income Statement'!F17/'Balance Sheet'!G36</f>
        <v>0.2381354051054384</v>
      </c>
      <c r="I15" s="303">
        <f ca="1">'Income Statement'!G17/'Balance Sheet'!H36</f>
        <v>0.2581022626871679</v>
      </c>
      <c r="J15" s="303">
        <f ca="1">'Income Statement'!H17/'Balance Sheet'!I36</f>
        <v>0.26209062973217767</v>
      </c>
      <c r="K15" s="303">
        <f ca="1">'Income Statement'!I17/'Balance Sheet'!J36</f>
        <v>0.26917681374852614</v>
      </c>
      <c r="L15" s="303">
        <f ca="1">'Income Statement'!J17/'Balance Sheet'!K36</f>
        <v>0.22731697191982081</v>
      </c>
      <c r="M15" s="303">
        <f ca="1">'Income Statement'!K17/'Balance Sheet'!L36</f>
        <v>0.19569276592540699</v>
      </c>
    </row>
    <row r="16" spans="1:13" x14ac:dyDescent="0.3">
      <c r="A16" s="261" t="s">
        <v>311</v>
      </c>
      <c r="B16" s="262"/>
      <c r="C16" s="264"/>
      <c r="D16" s="264"/>
      <c r="E16" s="264"/>
      <c r="F16" s="264"/>
      <c r="G16" s="264"/>
      <c r="H16" s="264"/>
      <c r="I16" s="303"/>
      <c r="J16" s="303"/>
      <c r="K16" s="303"/>
      <c r="L16" s="303"/>
      <c r="M16" s="303"/>
    </row>
    <row r="17" spans="1:13" x14ac:dyDescent="0.3">
      <c r="A17" s="261"/>
      <c r="B17" s="263" t="s">
        <v>425</v>
      </c>
      <c r="C17" s="264"/>
      <c r="D17" s="264">
        <f>'Income Statement'!B6/AVERAGE('Balance Sheet'!B8:C8)</f>
        <v>6.2234722089808372</v>
      </c>
      <c r="E17" s="264">
        <f>'Income Statement'!C6/AVERAGE('Balance Sheet'!C8:D8)</f>
        <v>5.8622685185185182</v>
      </c>
      <c r="F17" s="264">
        <f>'Income Statement'!D6/AVERAGE('Balance Sheet'!D8:E8)</f>
        <v>6.241960549910341</v>
      </c>
      <c r="G17" s="264">
        <f>'Income Statement'!E6/AVERAGE('Balance Sheet'!E8:F8)</f>
        <v>6.1652270827528559</v>
      </c>
      <c r="H17" s="264">
        <f>'Income Statement'!F6/AVERAGE('Balance Sheet'!F8:G8)</f>
        <v>6.4984802431610946</v>
      </c>
      <c r="I17" s="303">
        <f>'Income Statement'!G6/AVERAGE('Balance Sheet'!G8:H8)</f>
        <v>7.174906399673497</v>
      </c>
      <c r="J17" s="303">
        <f>'Income Statement'!H6/AVERAGE('Balance Sheet'!H8:I8)</f>
        <v>8.4548104956268215</v>
      </c>
      <c r="K17" s="303">
        <f>'Income Statement'!I6/AVERAGE('Balance Sheet'!I8:J8)</f>
        <v>8.4548104956268215</v>
      </c>
      <c r="L17" s="303">
        <f>'Income Statement'!J6/AVERAGE('Balance Sheet'!J8:K8)</f>
        <v>7.482993197278911</v>
      </c>
      <c r="M17" s="303">
        <f>'Income Statement'!K6/AVERAGE('Balance Sheet'!K8:L8)</f>
        <v>7.482993197278911</v>
      </c>
    </row>
    <row r="18" spans="1:13" x14ac:dyDescent="0.3">
      <c r="A18" s="261"/>
      <c r="B18" s="263" t="s">
        <v>312</v>
      </c>
      <c r="C18" s="264"/>
      <c r="D18" s="264">
        <f>'Income Statement'!B17/('Balance Sheet'!C11-'Balance Sheet'!C26)</f>
        <v>1.2892338365138136</v>
      </c>
      <c r="E18" s="264">
        <f>'Income Statement'!C17/('Balance Sheet'!D11-'Balance Sheet'!D26)</f>
        <v>1.3006750241080038</v>
      </c>
      <c r="F18" s="264">
        <f>'Income Statement'!D17/('Balance Sheet'!E11-'Balance Sheet'!E26)</f>
        <v>0.23003764612641173</v>
      </c>
      <c r="G18" s="264">
        <f>'Income Statement'!E17/('Balance Sheet'!F11-'Balance Sheet'!F26)</f>
        <v>0.21640045975189251</v>
      </c>
      <c r="H18" s="264">
        <f>'Income Statement'!F17/('Balance Sheet'!G11-'Balance Sheet'!G26)</f>
        <v>0.26118712567560987</v>
      </c>
      <c r="I18" s="303">
        <f>'Income Statement'!G17/('Balance Sheet'!H11-'Balance Sheet'!H26)</f>
        <v>0.35654162962962971</v>
      </c>
      <c r="J18" s="303">
        <f>'Income Statement'!H17/('Balance Sheet'!I11-'Balance Sheet'!I26)</f>
        <v>0.44151051851851864</v>
      </c>
      <c r="K18" s="303">
        <f>'Income Statement'!I17/('Balance Sheet'!J11-'Balance Sheet'!J26)</f>
        <v>0.44151051851851852</v>
      </c>
      <c r="L18" s="303">
        <f>'Income Statement'!J17/('Balance Sheet'!K11-'Balance Sheet'!K26)</f>
        <v>0.34238014814814821</v>
      </c>
      <c r="M18" s="303">
        <f>'Income Statement'!K17/('Balance Sheet'!L11-'Balance Sheet'!L26)</f>
        <v>0.34238014814814821</v>
      </c>
    </row>
    <row r="19" spans="1:13" x14ac:dyDescent="0.3">
      <c r="A19" s="261"/>
      <c r="B19" s="263" t="s">
        <v>313</v>
      </c>
      <c r="C19" s="264"/>
      <c r="D19" s="264">
        <f>'Income Statement'!B17/'Balance Sheet'!B13</f>
        <v>10.816009557945042</v>
      </c>
      <c r="E19" s="264">
        <f>'Income Statement'!C17/'Balance Sheet'!C13</f>
        <v>5.9261862917398949</v>
      </c>
      <c r="F19" s="264">
        <f>'Income Statement'!D17/'Balance Sheet'!D13</f>
        <v>1.6209424083769635</v>
      </c>
      <c r="G19" s="264">
        <f>'Income Statement'!E17/'Balance Sheet'!E13</f>
        <v>1.6570561456752655</v>
      </c>
      <c r="H19" s="264">
        <f>'Income Statement'!F17/'Balance Sheet'!F13</f>
        <v>1.3389915127309036</v>
      </c>
      <c r="I19" s="303">
        <f>'Income Statement'!G17/'Balance Sheet'!G13</f>
        <v>1.8001006400710797</v>
      </c>
      <c r="J19" s="303">
        <f>'Income Statement'!H17/'Balance Sheet'!H13</f>
        <v>2.235147</v>
      </c>
      <c r="K19" s="303">
        <f>'Income Statement'!I17/'Balance Sheet'!I13</f>
        <v>2.2351469999999996</v>
      </c>
      <c r="L19" s="303">
        <f>'Income Statement'!J17/'Balance Sheet'!J13</f>
        <v>1.7332995</v>
      </c>
      <c r="M19" s="303">
        <f>'Income Statement'!K17/'Balance Sheet'!K13</f>
        <v>1.7332995000000002</v>
      </c>
    </row>
    <row r="20" spans="1:13" x14ac:dyDescent="0.3">
      <c r="A20" s="261"/>
      <c r="B20" s="263"/>
      <c r="C20" s="264"/>
      <c r="D20" s="264"/>
      <c r="E20" s="264"/>
      <c r="F20" s="264"/>
      <c r="G20" s="264"/>
      <c r="H20" s="264"/>
      <c r="I20" s="264"/>
      <c r="J20" s="264"/>
      <c r="K20" s="264"/>
      <c r="L20" s="264"/>
      <c r="M20" s="264"/>
    </row>
    <row r="21" spans="1:13" x14ac:dyDescent="0.3">
      <c r="A21" s="261"/>
      <c r="B21" s="262"/>
    </row>
    <row r="27" spans="1:13" x14ac:dyDescent="0.3">
      <c r="A27" s="261"/>
      <c r="B27" s="262"/>
    </row>
    <row r="34" spans="1:2" x14ac:dyDescent="0.3">
      <c r="A34" s="261"/>
      <c r="B34" s="262"/>
    </row>
  </sheetData>
  <mergeCells count="4">
    <mergeCell ref="A1:B1"/>
    <mergeCell ref="A2:B2"/>
    <mergeCell ref="C1:H1"/>
    <mergeCell ref="I1:M1"/>
  </mergeCells>
  <pageMargins left="0.7" right="0.7" top="0.75" bottom="0.75" header="0.3" footer="0.3"/>
  <ignoredErrors>
    <ignoredError sqref="D17:H17"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FD457-486A-4A61-A376-A330BF7ECFF4}">
  <sheetPr codeName="Sheet13"/>
  <dimension ref="A1:N62"/>
  <sheetViews>
    <sheetView showGridLines="0" zoomScale="80" zoomScaleNormal="80" workbookViewId="0">
      <selection sqref="A1:N1"/>
    </sheetView>
  </sheetViews>
  <sheetFormatPr defaultColWidth="9.140625" defaultRowHeight="16.5" x14ac:dyDescent="0.3"/>
  <cols>
    <col min="1" max="4" width="10.7109375" style="7" customWidth="1"/>
    <col min="5" max="5" width="9.140625" style="7"/>
    <col min="6" max="6" width="10.7109375" style="7" customWidth="1"/>
    <col min="7" max="16384" width="9.140625" style="7"/>
  </cols>
  <sheetData>
    <row r="1" spans="1:14" x14ac:dyDescent="0.3">
      <c r="A1" s="432" t="s">
        <v>98</v>
      </c>
      <c r="B1" s="432"/>
      <c r="C1" s="432"/>
      <c r="D1" s="432"/>
      <c r="E1" s="432"/>
      <c r="F1" s="432"/>
      <c r="G1" s="432"/>
      <c r="H1" s="432"/>
      <c r="I1" s="432"/>
      <c r="J1" s="432"/>
      <c r="K1" s="432"/>
      <c r="L1" s="432"/>
      <c r="M1" s="432"/>
      <c r="N1" s="432"/>
    </row>
    <row r="2" spans="1:14" ht="20.25" x14ac:dyDescent="0.3">
      <c r="A2" s="433" t="s">
        <v>284</v>
      </c>
      <c r="B2" s="433"/>
      <c r="C2" s="433"/>
      <c r="D2" s="433"/>
      <c r="E2" s="433"/>
      <c r="F2" s="433"/>
      <c r="G2" s="433"/>
      <c r="H2" s="433"/>
      <c r="I2" s="433"/>
      <c r="J2" s="433"/>
      <c r="K2" s="433"/>
      <c r="L2" s="433"/>
      <c r="M2" s="433"/>
      <c r="N2" s="433"/>
    </row>
    <row r="3" spans="1:14" ht="5.0999999999999996" customHeight="1" x14ac:dyDescent="0.3"/>
    <row r="4" spans="1:14" ht="30" customHeight="1" x14ac:dyDescent="0.3">
      <c r="A4" s="429" t="s">
        <v>308</v>
      </c>
      <c r="B4" s="430"/>
      <c r="C4" s="430"/>
      <c r="D4" s="430"/>
      <c r="E4" s="430"/>
      <c r="F4" s="430"/>
      <c r="G4" s="431"/>
      <c r="H4" s="429" t="s">
        <v>294</v>
      </c>
      <c r="I4" s="430"/>
      <c r="J4" s="430"/>
      <c r="K4" s="430"/>
      <c r="L4" s="430"/>
      <c r="M4" s="430"/>
      <c r="N4" s="431"/>
    </row>
    <row r="5" spans="1:14" ht="16.5" customHeight="1" x14ac:dyDescent="0.3">
      <c r="A5" s="417" t="s">
        <v>285</v>
      </c>
      <c r="B5" s="418"/>
      <c r="C5" s="418"/>
      <c r="D5" s="418"/>
      <c r="E5" s="418"/>
      <c r="F5" s="418"/>
      <c r="G5" s="419"/>
      <c r="H5" s="414" t="s">
        <v>292</v>
      </c>
      <c r="I5" s="415"/>
      <c r="J5" s="415"/>
      <c r="K5" s="415"/>
      <c r="L5" s="415"/>
      <c r="M5" s="415"/>
      <c r="N5" s="416"/>
    </row>
    <row r="6" spans="1:14" x14ac:dyDescent="0.3">
      <c r="A6" s="420" t="s">
        <v>286</v>
      </c>
      <c r="B6" s="421"/>
      <c r="C6" s="421"/>
      <c r="D6" s="421"/>
      <c r="E6" s="421"/>
      <c r="F6" s="421"/>
      <c r="G6" s="422"/>
      <c r="H6" s="414"/>
      <c r="I6" s="415"/>
      <c r="J6" s="415"/>
      <c r="K6" s="415"/>
      <c r="L6" s="415"/>
      <c r="M6" s="415"/>
      <c r="N6" s="416"/>
    </row>
    <row r="7" spans="1:14" ht="15" customHeight="1" x14ac:dyDescent="0.3">
      <c r="A7" s="420"/>
      <c r="B7" s="421"/>
      <c r="C7" s="421"/>
      <c r="D7" s="421"/>
      <c r="E7" s="421"/>
      <c r="F7" s="421"/>
      <c r="G7" s="422"/>
      <c r="H7" s="420" t="s">
        <v>293</v>
      </c>
      <c r="I7" s="421"/>
      <c r="J7" s="421"/>
      <c r="K7" s="421"/>
      <c r="L7" s="421"/>
      <c r="M7" s="421"/>
      <c r="N7" s="422"/>
    </row>
    <row r="8" spans="1:14" x14ac:dyDescent="0.3">
      <c r="A8" s="420"/>
      <c r="B8" s="421"/>
      <c r="C8" s="421"/>
      <c r="D8" s="421"/>
      <c r="E8" s="421"/>
      <c r="F8" s="421"/>
      <c r="G8" s="422"/>
      <c r="H8" s="420"/>
      <c r="I8" s="421"/>
      <c r="J8" s="421"/>
      <c r="K8" s="421"/>
      <c r="L8" s="421"/>
      <c r="M8" s="421"/>
      <c r="N8" s="422"/>
    </row>
    <row r="9" spans="1:14" x14ac:dyDescent="0.3">
      <c r="A9" s="420"/>
      <c r="B9" s="421"/>
      <c r="C9" s="421"/>
      <c r="D9" s="421"/>
      <c r="E9" s="421"/>
      <c r="F9" s="421"/>
      <c r="G9" s="422"/>
      <c r="H9" s="420"/>
      <c r="I9" s="421"/>
      <c r="J9" s="421"/>
      <c r="K9" s="421"/>
      <c r="L9" s="421"/>
      <c r="M9" s="421"/>
      <c r="N9" s="422"/>
    </row>
    <row r="10" spans="1:14" x14ac:dyDescent="0.3">
      <c r="A10" s="420"/>
      <c r="B10" s="421"/>
      <c r="C10" s="421"/>
      <c r="D10" s="421"/>
      <c r="E10" s="421"/>
      <c r="F10" s="421"/>
      <c r="G10" s="422"/>
      <c r="H10" s="420"/>
      <c r="I10" s="421"/>
      <c r="J10" s="421"/>
      <c r="K10" s="421"/>
      <c r="L10" s="421"/>
      <c r="M10" s="421"/>
      <c r="N10" s="422"/>
    </row>
    <row r="11" spans="1:14" x14ac:dyDescent="0.3">
      <c r="A11" s="420"/>
      <c r="B11" s="421"/>
      <c r="C11" s="421"/>
      <c r="D11" s="421"/>
      <c r="E11" s="421"/>
      <c r="F11" s="421"/>
      <c r="G11" s="422"/>
      <c r="H11" s="420"/>
      <c r="I11" s="421"/>
      <c r="J11" s="421"/>
      <c r="K11" s="421"/>
      <c r="L11" s="421"/>
      <c r="M11" s="421"/>
      <c r="N11" s="422"/>
    </row>
    <row r="12" spans="1:14" x14ac:dyDescent="0.3">
      <c r="A12" s="420"/>
      <c r="B12" s="421"/>
      <c r="C12" s="421"/>
      <c r="D12" s="421"/>
      <c r="E12" s="421"/>
      <c r="F12" s="421"/>
      <c r="G12" s="422"/>
      <c r="H12" s="420"/>
      <c r="I12" s="421"/>
      <c r="J12" s="421"/>
      <c r="K12" s="421"/>
      <c r="L12" s="421"/>
      <c r="M12" s="421"/>
      <c r="N12" s="422"/>
    </row>
    <row r="13" spans="1:14" x14ac:dyDescent="0.3">
      <c r="A13" s="420"/>
      <c r="B13" s="421"/>
      <c r="C13" s="421"/>
      <c r="D13" s="421"/>
      <c r="E13" s="421"/>
      <c r="F13" s="421"/>
      <c r="G13" s="422"/>
      <c r="H13" s="420"/>
      <c r="I13" s="421"/>
      <c r="J13" s="421"/>
      <c r="K13" s="421"/>
      <c r="L13" s="421"/>
      <c r="M13" s="421"/>
      <c r="N13" s="422"/>
    </row>
    <row r="14" spans="1:14" x14ac:dyDescent="0.3">
      <c r="A14" s="420"/>
      <c r="B14" s="421"/>
      <c r="C14" s="421"/>
      <c r="D14" s="421"/>
      <c r="E14" s="421"/>
      <c r="F14" s="421"/>
      <c r="G14" s="422"/>
      <c r="H14" s="420"/>
      <c r="I14" s="421"/>
      <c r="J14" s="421"/>
      <c r="K14" s="421"/>
      <c r="L14" s="421"/>
      <c r="M14" s="421"/>
      <c r="N14" s="422"/>
    </row>
    <row r="15" spans="1:14" ht="16.5" customHeight="1" x14ac:dyDescent="0.3">
      <c r="A15" s="417" t="s">
        <v>287</v>
      </c>
      <c r="B15" s="418"/>
      <c r="C15" s="418"/>
      <c r="D15" s="418"/>
      <c r="E15" s="418"/>
      <c r="F15" s="418"/>
      <c r="G15" s="419"/>
      <c r="H15" s="248"/>
      <c r="I15" s="249"/>
      <c r="J15" s="249"/>
      <c r="K15" s="249"/>
      <c r="L15" s="249"/>
      <c r="M15" s="249"/>
      <c r="N15" s="250"/>
    </row>
    <row r="16" spans="1:14" ht="30" customHeight="1" x14ac:dyDescent="0.3">
      <c r="A16" s="420" t="s">
        <v>288</v>
      </c>
      <c r="B16" s="421"/>
      <c r="C16" s="421"/>
      <c r="D16" s="421"/>
      <c r="E16" s="421"/>
      <c r="F16" s="421"/>
      <c r="G16" s="422"/>
      <c r="H16" s="429" t="s">
        <v>291</v>
      </c>
      <c r="I16" s="430"/>
      <c r="J16" s="430"/>
      <c r="K16" s="430"/>
      <c r="L16" s="430"/>
      <c r="M16" s="430"/>
      <c r="N16" s="431"/>
    </row>
    <row r="17" spans="1:14" x14ac:dyDescent="0.3">
      <c r="A17" s="420"/>
      <c r="B17" s="421"/>
      <c r="C17" s="421"/>
      <c r="D17" s="421"/>
      <c r="E17" s="421"/>
      <c r="F17" s="421"/>
      <c r="G17" s="422"/>
      <c r="H17" s="423" t="s">
        <v>295</v>
      </c>
      <c r="I17" s="424"/>
      <c r="J17" s="424"/>
      <c r="K17" s="424"/>
      <c r="L17" s="424"/>
      <c r="M17" s="424"/>
      <c r="N17" s="425"/>
    </row>
    <row r="18" spans="1:14" x14ac:dyDescent="0.3">
      <c r="A18" s="420"/>
      <c r="B18" s="421"/>
      <c r="C18" s="421"/>
      <c r="D18" s="421"/>
      <c r="E18" s="421"/>
      <c r="F18" s="421"/>
      <c r="G18" s="422"/>
      <c r="H18" s="420" t="s">
        <v>296</v>
      </c>
      <c r="I18" s="421"/>
      <c r="J18" s="421"/>
      <c r="K18" s="421"/>
      <c r="L18" s="421"/>
      <c r="M18" s="421"/>
      <c r="N18" s="422"/>
    </row>
    <row r="19" spans="1:14" x14ac:dyDescent="0.3">
      <c r="A19" s="420"/>
      <c r="B19" s="421"/>
      <c r="C19" s="421"/>
      <c r="D19" s="421"/>
      <c r="E19" s="421"/>
      <c r="F19" s="421"/>
      <c r="G19" s="422"/>
      <c r="H19" s="420"/>
      <c r="I19" s="421"/>
      <c r="J19" s="421"/>
      <c r="K19" s="421"/>
      <c r="L19" s="421"/>
      <c r="M19" s="421"/>
      <c r="N19" s="422"/>
    </row>
    <row r="20" spans="1:14" x14ac:dyDescent="0.3">
      <c r="A20" s="420"/>
      <c r="B20" s="421"/>
      <c r="C20" s="421"/>
      <c r="D20" s="421"/>
      <c r="E20" s="421"/>
      <c r="F20" s="421"/>
      <c r="G20" s="422"/>
      <c r="H20" s="420"/>
      <c r="I20" s="421"/>
      <c r="J20" s="421"/>
      <c r="K20" s="421"/>
      <c r="L20" s="421"/>
      <c r="M20" s="421"/>
      <c r="N20" s="422"/>
    </row>
    <row r="21" spans="1:14" x14ac:dyDescent="0.3">
      <c r="A21" s="420"/>
      <c r="B21" s="421"/>
      <c r="C21" s="421"/>
      <c r="D21" s="421"/>
      <c r="E21" s="421"/>
      <c r="F21" s="421"/>
      <c r="G21" s="422"/>
      <c r="H21" s="420"/>
      <c r="I21" s="421"/>
      <c r="J21" s="421"/>
      <c r="K21" s="421"/>
      <c r="L21" s="421"/>
      <c r="M21" s="421"/>
      <c r="N21" s="422"/>
    </row>
    <row r="22" spans="1:14" x14ac:dyDescent="0.3">
      <c r="A22" s="420"/>
      <c r="B22" s="421"/>
      <c r="C22" s="421"/>
      <c r="D22" s="421"/>
      <c r="E22" s="421"/>
      <c r="F22" s="421"/>
      <c r="G22" s="422"/>
      <c r="H22" s="420"/>
      <c r="I22" s="421"/>
      <c r="J22" s="421"/>
      <c r="K22" s="421"/>
      <c r="L22" s="421"/>
      <c r="M22" s="421"/>
      <c r="N22" s="422"/>
    </row>
    <row r="23" spans="1:14" x14ac:dyDescent="0.3">
      <c r="A23" s="420"/>
      <c r="B23" s="421"/>
      <c r="C23" s="421"/>
      <c r="D23" s="421"/>
      <c r="E23" s="421"/>
      <c r="F23" s="421"/>
      <c r="G23" s="422"/>
      <c r="H23" s="420"/>
      <c r="I23" s="421"/>
      <c r="J23" s="421"/>
      <c r="K23" s="421"/>
      <c r="L23" s="421"/>
      <c r="M23" s="421"/>
      <c r="N23" s="422"/>
    </row>
    <row r="24" spans="1:14" x14ac:dyDescent="0.3">
      <c r="A24" s="423" t="s">
        <v>289</v>
      </c>
      <c r="B24" s="424"/>
      <c r="C24" s="424"/>
      <c r="D24" s="424"/>
      <c r="E24" s="424"/>
      <c r="F24" s="424"/>
      <c r="G24" s="425"/>
      <c r="H24" s="420"/>
      <c r="I24" s="421"/>
      <c r="J24" s="421"/>
      <c r="K24" s="421"/>
      <c r="L24" s="421"/>
      <c r="M24" s="421"/>
      <c r="N24" s="422"/>
    </row>
    <row r="25" spans="1:14" x14ac:dyDescent="0.3">
      <c r="A25" s="420" t="s">
        <v>290</v>
      </c>
      <c r="B25" s="421"/>
      <c r="C25" s="421"/>
      <c r="D25" s="421"/>
      <c r="E25" s="421"/>
      <c r="F25" s="421"/>
      <c r="G25" s="422"/>
      <c r="H25" s="420"/>
      <c r="I25" s="421"/>
      <c r="J25" s="421"/>
      <c r="K25" s="421"/>
      <c r="L25" s="421"/>
      <c r="M25" s="421"/>
      <c r="N25" s="422"/>
    </row>
    <row r="26" spans="1:14" x14ac:dyDescent="0.3">
      <c r="A26" s="420"/>
      <c r="B26" s="421"/>
      <c r="C26" s="421"/>
      <c r="D26" s="421"/>
      <c r="E26" s="421"/>
      <c r="F26" s="421"/>
      <c r="G26" s="422"/>
      <c r="H26" s="420"/>
      <c r="I26" s="421"/>
      <c r="J26" s="421"/>
      <c r="K26" s="421"/>
      <c r="L26" s="421"/>
      <c r="M26" s="421"/>
      <c r="N26" s="422"/>
    </row>
    <row r="27" spans="1:14" x14ac:dyDescent="0.3">
      <c r="A27" s="420"/>
      <c r="B27" s="421"/>
      <c r="C27" s="421"/>
      <c r="D27" s="421"/>
      <c r="E27" s="421"/>
      <c r="F27" s="421"/>
      <c r="G27" s="422"/>
      <c r="H27" s="423" t="s">
        <v>297</v>
      </c>
      <c r="I27" s="424"/>
      <c r="J27" s="424"/>
      <c r="K27" s="424"/>
      <c r="L27" s="424"/>
      <c r="M27" s="424"/>
      <c r="N27" s="425"/>
    </row>
    <row r="28" spans="1:14" ht="15" customHeight="1" x14ac:dyDescent="0.3">
      <c r="A28" s="420"/>
      <c r="B28" s="421"/>
      <c r="C28" s="421"/>
      <c r="D28" s="421"/>
      <c r="E28" s="421"/>
      <c r="F28" s="421"/>
      <c r="G28" s="422"/>
      <c r="H28" s="420" t="s">
        <v>298</v>
      </c>
      <c r="I28" s="421"/>
      <c r="J28" s="421"/>
      <c r="K28" s="421"/>
      <c r="L28" s="421"/>
      <c r="M28" s="421"/>
      <c r="N28" s="422"/>
    </row>
    <row r="29" spans="1:14" ht="15" customHeight="1" x14ac:dyDescent="0.3">
      <c r="A29" s="420"/>
      <c r="B29" s="421"/>
      <c r="C29" s="421"/>
      <c r="D29" s="421"/>
      <c r="E29" s="421"/>
      <c r="F29" s="421"/>
      <c r="G29" s="422"/>
      <c r="H29" s="420"/>
      <c r="I29" s="421"/>
      <c r="J29" s="421"/>
      <c r="K29" s="421"/>
      <c r="L29" s="421"/>
      <c r="M29" s="421"/>
      <c r="N29" s="422"/>
    </row>
    <row r="30" spans="1:14" ht="15" customHeight="1" x14ac:dyDescent="0.3">
      <c r="A30" s="420"/>
      <c r="B30" s="421"/>
      <c r="C30" s="421"/>
      <c r="D30" s="421"/>
      <c r="E30" s="421"/>
      <c r="F30" s="421"/>
      <c r="G30" s="422"/>
      <c r="H30" s="420"/>
      <c r="I30" s="421"/>
      <c r="J30" s="421"/>
      <c r="K30" s="421"/>
      <c r="L30" s="421"/>
      <c r="M30" s="421"/>
      <c r="N30" s="422"/>
    </row>
    <row r="31" spans="1:14" ht="15" customHeight="1" x14ac:dyDescent="0.3">
      <c r="A31" s="426"/>
      <c r="B31" s="427"/>
      <c r="C31" s="427"/>
      <c r="D31" s="427"/>
      <c r="E31" s="427"/>
      <c r="F31" s="427"/>
      <c r="G31" s="428"/>
      <c r="H31" s="420"/>
      <c r="I31" s="421"/>
      <c r="J31" s="421"/>
      <c r="K31" s="421"/>
      <c r="L31" s="421"/>
      <c r="M31" s="421"/>
      <c r="N31" s="422"/>
    </row>
    <row r="32" spans="1:14" ht="30" customHeight="1" x14ac:dyDescent="0.3">
      <c r="A32" s="429" t="s">
        <v>301</v>
      </c>
      <c r="B32" s="430"/>
      <c r="C32" s="430"/>
      <c r="D32" s="430"/>
      <c r="E32" s="430"/>
      <c r="F32" s="430"/>
      <c r="G32" s="431"/>
      <c r="H32" s="420"/>
      <c r="I32" s="421"/>
      <c r="J32" s="421"/>
      <c r="K32" s="421"/>
      <c r="L32" s="421"/>
      <c r="M32" s="421"/>
      <c r="N32" s="422"/>
    </row>
    <row r="33" spans="1:14" ht="15" customHeight="1" x14ac:dyDescent="0.3">
      <c r="A33" s="423" t="s">
        <v>302</v>
      </c>
      <c r="B33" s="424"/>
      <c r="C33" s="424"/>
      <c r="D33" s="424"/>
      <c r="E33" s="424"/>
      <c r="F33" s="424"/>
      <c r="G33" s="425"/>
      <c r="H33" s="420"/>
      <c r="I33" s="421"/>
      <c r="J33" s="421"/>
      <c r="K33" s="421"/>
      <c r="L33" s="421"/>
      <c r="M33" s="421"/>
      <c r="N33" s="422"/>
    </row>
    <row r="34" spans="1:14" ht="15" customHeight="1" x14ac:dyDescent="0.3">
      <c r="A34" s="420" t="s">
        <v>303</v>
      </c>
      <c r="B34" s="408"/>
      <c r="C34" s="408"/>
      <c r="D34" s="408"/>
      <c r="E34" s="408"/>
      <c r="F34" s="408"/>
      <c r="G34" s="409"/>
      <c r="H34" s="420"/>
      <c r="I34" s="421"/>
      <c r="J34" s="421"/>
      <c r="K34" s="421"/>
      <c r="L34" s="421"/>
      <c r="M34" s="421"/>
      <c r="N34" s="422"/>
    </row>
    <row r="35" spans="1:14" ht="15" customHeight="1" x14ac:dyDescent="0.3">
      <c r="A35" s="410"/>
      <c r="B35" s="408"/>
      <c r="C35" s="408"/>
      <c r="D35" s="408"/>
      <c r="E35" s="408"/>
      <c r="F35" s="408"/>
      <c r="G35" s="409"/>
      <c r="H35" s="420"/>
      <c r="I35" s="421"/>
      <c r="J35" s="421"/>
      <c r="K35" s="421"/>
      <c r="L35" s="421"/>
      <c r="M35" s="421"/>
      <c r="N35" s="422"/>
    </row>
    <row r="36" spans="1:14" ht="15" customHeight="1" x14ac:dyDescent="0.3">
      <c r="A36" s="410"/>
      <c r="B36" s="408"/>
      <c r="C36" s="408"/>
      <c r="D36" s="408"/>
      <c r="E36" s="408"/>
      <c r="F36" s="408"/>
      <c r="G36" s="409"/>
      <c r="H36" s="420"/>
      <c r="I36" s="421"/>
      <c r="J36" s="421"/>
      <c r="K36" s="421"/>
      <c r="L36" s="421"/>
      <c r="M36" s="421"/>
      <c r="N36" s="422"/>
    </row>
    <row r="37" spans="1:14" ht="15" customHeight="1" x14ac:dyDescent="0.3">
      <c r="A37" s="410"/>
      <c r="B37" s="408"/>
      <c r="C37" s="408"/>
      <c r="D37" s="408"/>
      <c r="E37" s="408"/>
      <c r="F37" s="408"/>
      <c r="G37" s="409"/>
      <c r="H37" s="420"/>
      <c r="I37" s="421"/>
      <c r="J37" s="421"/>
      <c r="K37" s="421"/>
      <c r="L37" s="421"/>
      <c r="M37" s="421"/>
      <c r="N37" s="422"/>
    </row>
    <row r="38" spans="1:14" ht="15" customHeight="1" x14ac:dyDescent="0.3">
      <c r="A38" s="410"/>
      <c r="B38" s="408"/>
      <c r="C38" s="408"/>
      <c r="D38" s="408"/>
      <c r="E38" s="408"/>
      <c r="F38" s="408"/>
      <c r="G38" s="409"/>
      <c r="H38" s="420"/>
      <c r="I38" s="421"/>
      <c r="J38" s="421"/>
      <c r="K38" s="421"/>
      <c r="L38" s="421"/>
      <c r="M38" s="421"/>
      <c r="N38" s="422"/>
    </row>
    <row r="39" spans="1:14" x14ac:dyDescent="0.3">
      <c r="A39" s="410"/>
      <c r="B39" s="408"/>
      <c r="C39" s="408"/>
      <c r="D39" s="408"/>
      <c r="E39" s="408"/>
      <c r="F39" s="408"/>
      <c r="G39" s="409"/>
      <c r="H39" s="420"/>
      <c r="I39" s="421"/>
      <c r="J39" s="421"/>
      <c r="K39" s="421"/>
      <c r="L39" s="421"/>
      <c r="M39" s="421"/>
      <c r="N39" s="422"/>
    </row>
    <row r="40" spans="1:14" x14ac:dyDescent="0.3">
      <c r="A40" s="423" t="s">
        <v>304</v>
      </c>
      <c r="B40" s="424"/>
      <c r="C40" s="424"/>
      <c r="D40" s="424"/>
      <c r="E40" s="424"/>
      <c r="F40" s="424"/>
      <c r="G40" s="425"/>
      <c r="H40" s="423" t="s">
        <v>299</v>
      </c>
      <c r="I40" s="424"/>
      <c r="J40" s="424"/>
      <c r="K40" s="424"/>
      <c r="L40" s="424"/>
      <c r="M40" s="424"/>
      <c r="N40" s="425"/>
    </row>
    <row r="41" spans="1:14" x14ac:dyDescent="0.3">
      <c r="A41" s="420" t="s">
        <v>305</v>
      </c>
      <c r="B41" s="408"/>
      <c r="C41" s="408"/>
      <c r="D41" s="408"/>
      <c r="E41" s="408"/>
      <c r="F41" s="408"/>
      <c r="G41" s="409"/>
      <c r="H41" s="420" t="s">
        <v>300</v>
      </c>
      <c r="I41" s="421"/>
      <c r="J41" s="421"/>
      <c r="K41" s="421"/>
      <c r="L41" s="421"/>
      <c r="M41" s="421"/>
      <c r="N41" s="422"/>
    </row>
    <row r="42" spans="1:14" x14ac:dyDescent="0.3">
      <c r="A42" s="410"/>
      <c r="B42" s="408"/>
      <c r="C42" s="408"/>
      <c r="D42" s="408"/>
      <c r="E42" s="408"/>
      <c r="F42" s="408"/>
      <c r="G42" s="409"/>
      <c r="H42" s="420"/>
      <c r="I42" s="421"/>
      <c r="J42" s="421"/>
      <c r="K42" s="421"/>
      <c r="L42" s="421"/>
      <c r="M42" s="421"/>
      <c r="N42" s="422"/>
    </row>
    <row r="43" spans="1:14" x14ac:dyDescent="0.3">
      <c r="A43" s="410"/>
      <c r="B43" s="408"/>
      <c r="C43" s="408"/>
      <c r="D43" s="408"/>
      <c r="E43" s="408"/>
      <c r="F43" s="408"/>
      <c r="G43" s="409"/>
      <c r="H43" s="420"/>
      <c r="I43" s="421"/>
      <c r="J43" s="421"/>
      <c r="K43" s="421"/>
      <c r="L43" s="421"/>
      <c r="M43" s="421"/>
      <c r="N43" s="422"/>
    </row>
    <row r="44" spans="1:14" x14ac:dyDescent="0.3">
      <c r="A44" s="410"/>
      <c r="B44" s="408"/>
      <c r="C44" s="408"/>
      <c r="D44" s="408"/>
      <c r="E44" s="408"/>
      <c r="F44" s="408"/>
      <c r="G44" s="409"/>
      <c r="H44" s="420"/>
      <c r="I44" s="421"/>
      <c r="J44" s="421"/>
      <c r="K44" s="421"/>
      <c r="L44" s="421"/>
      <c r="M44" s="421"/>
      <c r="N44" s="422"/>
    </row>
    <row r="45" spans="1:14" x14ac:dyDescent="0.3">
      <c r="A45" s="410"/>
      <c r="B45" s="408"/>
      <c r="C45" s="408"/>
      <c r="D45" s="408"/>
      <c r="E45" s="408"/>
      <c r="F45" s="408"/>
      <c r="G45" s="409"/>
      <c r="H45" s="420"/>
      <c r="I45" s="421"/>
      <c r="J45" s="421"/>
      <c r="K45" s="421"/>
      <c r="L45" s="421"/>
      <c r="M45" s="421"/>
      <c r="N45" s="422"/>
    </row>
    <row r="46" spans="1:14" x14ac:dyDescent="0.3">
      <c r="A46" s="410"/>
      <c r="B46" s="408"/>
      <c r="C46" s="408"/>
      <c r="D46" s="408"/>
      <c r="E46" s="408"/>
      <c r="F46" s="408"/>
      <c r="G46" s="409"/>
      <c r="H46" s="420"/>
      <c r="I46" s="421"/>
      <c r="J46" s="421"/>
      <c r="K46" s="421"/>
      <c r="L46" s="421"/>
      <c r="M46" s="421"/>
      <c r="N46" s="422"/>
    </row>
    <row r="47" spans="1:14" x14ac:dyDescent="0.3">
      <c r="A47" s="410"/>
      <c r="B47" s="408"/>
      <c r="C47" s="408"/>
      <c r="D47" s="408"/>
      <c r="E47" s="408"/>
      <c r="F47" s="408"/>
      <c r="G47" s="409"/>
      <c r="H47" s="426"/>
      <c r="I47" s="427"/>
      <c r="J47" s="427"/>
      <c r="K47" s="427"/>
      <c r="L47" s="427"/>
      <c r="M47" s="427"/>
      <c r="N47" s="428"/>
    </row>
    <row r="48" spans="1:14" x14ac:dyDescent="0.3">
      <c r="A48" s="410"/>
      <c r="B48" s="408"/>
      <c r="C48" s="408"/>
      <c r="D48" s="408"/>
      <c r="E48" s="408"/>
      <c r="F48" s="408"/>
      <c r="G48" s="409"/>
    </row>
    <row r="49" spans="1:7" x14ac:dyDescent="0.3">
      <c r="A49" s="423" t="s">
        <v>306</v>
      </c>
      <c r="B49" s="424"/>
      <c r="C49" s="424"/>
      <c r="D49" s="424"/>
      <c r="E49" s="424"/>
      <c r="F49" s="424"/>
      <c r="G49" s="425"/>
    </row>
    <row r="50" spans="1:7" x14ac:dyDescent="0.3">
      <c r="A50" s="407" t="s">
        <v>307</v>
      </c>
      <c r="B50" s="408"/>
      <c r="C50" s="408"/>
      <c r="D50" s="408"/>
      <c r="E50" s="408"/>
      <c r="F50" s="408"/>
      <c r="G50" s="409"/>
    </row>
    <row r="51" spans="1:7" x14ac:dyDescent="0.3">
      <c r="A51" s="410"/>
      <c r="B51" s="408"/>
      <c r="C51" s="408"/>
      <c r="D51" s="408"/>
      <c r="E51" s="408"/>
      <c r="F51" s="408"/>
      <c r="G51" s="409"/>
    </row>
    <row r="52" spans="1:7" x14ac:dyDescent="0.3">
      <c r="A52" s="410"/>
      <c r="B52" s="408"/>
      <c r="C52" s="408"/>
      <c r="D52" s="408"/>
      <c r="E52" s="408"/>
      <c r="F52" s="408"/>
      <c r="G52" s="409"/>
    </row>
    <row r="53" spans="1:7" x14ac:dyDescent="0.3">
      <c r="A53" s="410"/>
      <c r="B53" s="408"/>
      <c r="C53" s="408"/>
      <c r="D53" s="408"/>
      <c r="E53" s="408"/>
      <c r="F53" s="408"/>
      <c r="G53" s="409"/>
    </row>
    <row r="54" spans="1:7" x14ac:dyDescent="0.3">
      <c r="A54" s="410"/>
      <c r="B54" s="408"/>
      <c r="C54" s="408"/>
      <c r="D54" s="408"/>
      <c r="E54" s="408"/>
      <c r="F54" s="408"/>
      <c r="G54" s="409"/>
    </row>
    <row r="55" spans="1:7" x14ac:dyDescent="0.3">
      <c r="A55" s="410"/>
      <c r="B55" s="408"/>
      <c r="C55" s="408"/>
      <c r="D55" s="408"/>
      <c r="E55" s="408"/>
      <c r="F55" s="408"/>
      <c r="G55" s="409"/>
    </row>
    <row r="56" spans="1:7" x14ac:dyDescent="0.3">
      <c r="A56" s="410"/>
      <c r="B56" s="408"/>
      <c r="C56" s="408"/>
      <c r="D56" s="408"/>
      <c r="E56" s="408"/>
      <c r="F56" s="408"/>
      <c r="G56" s="409"/>
    </row>
    <row r="57" spans="1:7" x14ac:dyDescent="0.3">
      <c r="A57" s="410"/>
      <c r="B57" s="408"/>
      <c r="C57" s="408"/>
      <c r="D57" s="408"/>
      <c r="E57" s="408"/>
      <c r="F57" s="408"/>
      <c r="G57" s="409"/>
    </row>
    <row r="58" spans="1:7" x14ac:dyDescent="0.3">
      <c r="A58" s="410"/>
      <c r="B58" s="408"/>
      <c r="C58" s="408"/>
      <c r="D58" s="408"/>
      <c r="E58" s="408"/>
      <c r="F58" s="408"/>
      <c r="G58" s="409"/>
    </row>
    <row r="59" spans="1:7" x14ac:dyDescent="0.3">
      <c r="A59" s="410"/>
      <c r="B59" s="408"/>
      <c r="C59" s="408"/>
      <c r="D59" s="408"/>
      <c r="E59" s="408"/>
      <c r="F59" s="408"/>
      <c r="G59" s="409"/>
    </row>
    <row r="60" spans="1:7" x14ac:dyDescent="0.3">
      <c r="A60" s="410"/>
      <c r="B60" s="408"/>
      <c r="C60" s="408"/>
      <c r="D60" s="408"/>
      <c r="E60" s="408"/>
      <c r="F60" s="408"/>
      <c r="G60" s="409"/>
    </row>
    <row r="61" spans="1:7" x14ac:dyDescent="0.3">
      <c r="A61" s="411"/>
      <c r="B61" s="412"/>
      <c r="C61" s="412"/>
      <c r="D61" s="412"/>
      <c r="E61" s="412"/>
      <c r="F61" s="412"/>
      <c r="G61" s="413"/>
    </row>
    <row r="62" spans="1:7" x14ac:dyDescent="0.3">
      <c r="A62" s="7" t="s">
        <v>426</v>
      </c>
    </row>
  </sheetData>
  <mergeCells count="26">
    <mergeCell ref="A49:G49"/>
    <mergeCell ref="H17:N17"/>
    <mergeCell ref="H27:N27"/>
    <mergeCell ref="H40:N40"/>
    <mergeCell ref="A1:N1"/>
    <mergeCell ref="A2:N2"/>
    <mergeCell ref="A4:G4"/>
    <mergeCell ref="H4:N4"/>
    <mergeCell ref="H18:N26"/>
    <mergeCell ref="H28:N39"/>
    <mergeCell ref="A50:G61"/>
    <mergeCell ref="H5:N6"/>
    <mergeCell ref="A5:G5"/>
    <mergeCell ref="A6:G14"/>
    <mergeCell ref="A15:G15"/>
    <mergeCell ref="A24:G24"/>
    <mergeCell ref="A33:G33"/>
    <mergeCell ref="A40:G40"/>
    <mergeCell ref="H41:N47"/>
    <mergeCell ref="A16:G23"/>
    <mergeCell ref="A25:G31"/>
    <mergeCell ref="A32:G32"/>
    <mergeCell ref="H7:N14"/>
    <mergeCell ref="A34:G39"/>
    <mergeCell ref="A41:G48"/>
    <mergeCell ref="H16:N1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580F-4B2A-4539-B31A-263FE0A58A66}">
  <sheetPr codeName="Sheet14"/>
  <dimension ref="A1:O64"/>
  <sheetViews>
    <sheetView showGridLines="0" zoomScale="80" zoomScaleNormal="80" workbookViewId="0">
      <selection activeCell="T13" sqref="T13"/>
    </sheetView>
  </sheetViews>
  <sheetFormatPr defaultColWidth="9.140625" defaultRowHeight="16.5" customHeight="1" x14ac:dyDescent="0.3"/>
  <cols>
    <col min="1" max="16384" width="9.140625" style="7"/>
  </cols>
  <sheetData>
    <row r="1" spans="1:15" ht="16.5" customHeight="1" x14ac:dyDescent="0.3">
      <c r="A1" s="432" t="s">
        <v>98</v>
      </c>
      <c r="B1" s="432"/>
      <c r="C1" s="432"/>
      <c r="D1" s="432"/>
      <c r="E1" s="432"/>
      <c r="F1" s="432"/>
      <c r="G1" s="432"/>
      <c r="H1" s="432"/>
      <c r="I1" s="432"/>
      <c r="J1" s="432"/>
      <c r="K1" s="432"/>
      <c r="L1" s="432"/>
      <c r="M1" s="432"/>
      <c r="N1" s="432"/>
      <c r="O1" s="432"/>
    </row>
    <row r="2" spans="1:15" ht="16.5" customHeight="1" x14ac:dyDescent="0.3">
      <c r="A2" s="433" t="s">
        <v>310</v>
      </c>
      <c r="B2" s="433"/>
      <c r="C2" s="433"/>
      <c r="D2" s="433"/>
      <c r="E2" s="433"/>
      <c r="F2" s="433"/>
      <c r="G2" s="433"/>
      <c r="H2" s="433"/>
      <c r="I2" s="433"/>
      <c r="J2" s="433"/>
      <c r="K2" s="433"/>
      <c r="L2" s="433"/>
      <c r="M2" s="433"/>
      <c r="N2" s="433"/>
      <c r="O2" s="433"/>
    </row>
    <row r="3" spans="1:15" ht="15" customHeight="1" x14ac:dyDescent="0.3">
      <c r="A3" s="440" t="s">
        <v>389</v>
      </c>
      <c r="B3" s="440"/>
      <c r="C3" s="440"/>
      <c r="D3" s="440"/>
      <c r="E3" s="440"/>
      <c r="F3" s="440"/>
      <c r="G3" s="440"/>
      <c r="H3" s="440"/>
      <c r="I3" s="440"/>
      <c r="J3" s="440"/>
      <c r="K3" s="440"/>
      <c r="L3" s="440"/>
      <c r="M3" s="440"/>
      <c r="N3" s="440"/>
      <c r="O3" s="440"/>
    </row>
    <row r="4" spans="1:15" ht="15" customHeight="1" x14ac:dyDescent="0.3">
      <c r="A4" s="440"/>
      <c r="B4" s="440"/>
      <c r="C4" s="440"/>
      <c r="D4" s="440"/>
      <c r="E4" s="440"/>
      <c r="F4" s="440"/>
      <c r="G4" s="440"/>
      <c r="H4" s="440"/>
      <c r="I4" s="440"/>
      <c r="J4" s="440"/>
      <c r="K4" s="440"/>
      <c r="L4" s="440"/>
      <c r="M4" s="440"/>
      <c r="N4" s="440"/>
      <c r="O4" s="440"/>
    </row>
    <row r="5" spans="1:15" ht="15" customHeight="1" x14ac:dyDescent="0.3">
      <c r="A5" s="440"/>
      <c r="B5" s="440"/>
      <c r="C5" s="440"/>
      <c r="D5" s="440"/>
      <c r="E5" s="440"/>
      <c r="F5" s="440"/>
      <c r="G5" s="440"/>
      <c r="H5" s="440"/>
      <c r="I5" s="440"/>
      <c r="J5" s="440"/>
      <c r="K5" s="440"/>
      <c r="L5" s="440"/>
      <c r="M5" s="440"/>
      <c r="N5" s="440"/>
      <c r="O5" s="440"/>
    </row>
    <row r="6" spans="1:15" ht="15" customHeight="1" x14ac:dyDescent="0.3">
      <c r="A6" s="440"/>
      <c r="B6" s="440"/>
      <c r="C6" s="440"/>
      <c r="D6" s="440"/>
      <c r="E6" s="440"/>
      <c r="F6" s="440"/>
      <c r="G6" s="440"/>
      <c r="H6" s="440"/>
      <c r="I6" s="440"/>
      <c r="J6" s="440"/>
      <c r="K6" s="440"/>
      <c r="L6" s="440"/>
      <c r="M6" s="440"/>
      <c r="N6" s="440"/>
      <c r="O6" s="440"/>
    </row>
    <row r="7" spans="1:15" ht="5.0999999999999996" customHeight="1" x14ac:dyDescent="0.3">
      <c r="A7" s="266"/>
      <c r="B7" s="266"/>
      <c r="C7" s="266"/>
      <c r="D7" s="266"/>
      <c r="E7" s="266"/>
      <c r="F7" s="266"/>
      <c r="G7" s="266"/>
      <c r="H7" s="266"/>
      <c r="I7" s="266"/>
      <c r="J7" s="266"/>
      <c r="K7" s="266"/>
      <c r="L7" s="266"/>
      <c r="M7" s="266"/>
      <c r="N7" s="266" t="s">
        <v>390</v>
      </c>
      <c r="O7" s="266"/>
    </row>
    <row r="8" spans="1:15" ht="16.5" customHeight="1" x14ac:dyDescent="0.3">
      <c r="A8" s="441" t="s">
        <v>331</v>
      </c>
      <c r="B8" s="442"/>
      <c r="C8" s="442"/>
      <c r="D8" s="442"/>
      <c r="E8" s="442"/>
      <c r="F8" s="443" t="s">
        <v>388</v>
      </c>
      <c r="G8" s="444"/>
      <c r="H8" s="444"/>
      <c r="I8" s="444"/>
      <c r="J8" s="444"/>
      <c r="K8" s="444"/>
      <c r="L8" s="444"/>
      <c r="M8" s="444"/>
      <c r="N8" s="444"/>
      <c r="O8" s="444"/>
    </row>
    <row r="9" spans="1:15" ht="5.0999999999999996" customHeight="1" thickBot="1" x14ac:dyDescent="0.35"/>
    <row r="10" spans="1:15" ht="17.25" x14ac:dyDescent="0.3">
      <c r="A10" s="445" t="s">
        <v>332</v>
      </c>
      <c r="B10" s="446"/>
      <c r="C10" s="446"/>
      <c r="D10" s="446"/>
      <c r="E10" s="272"/>
      <c r="F10" s="434" t="s">
        <v>333</v>
      </c>
      <c r="G10" s="434"/>
      <c r="H10" s="434"/>
      <c r="I10" s="267"/>
      <c r="J10" s="267"/>
      <c r="K10" s="267"/>
      <c r="L10" s="267"/>
      <c r="M10" s="267"/>
      <c r="N10" s="267"/>
      <c r="O10" s="268"/>
    </row>
    <row r="11" spans="1:15" ht="16.5" customHeight="1" x14ac:dyDescent="0.3">
      <c r="A11" s="273"/>
      <c r="B11" s="274"/>
      <c r="C11" s="274"/>
      <c r="D11" s="274"/>
      <c r="E11" s="274"/>
      <c r="F11" s="11" t="s">
        <v>334</v>
      </c>
      <c r="G11" s="11"/>
      <c r="H11" s="11"/>
      <c r="I11" s="11"/>
      <c r="J11" s="11"/>
      <c r="K11" s="11"/>
      <c r="L11" s="11"/>
      <c r="M11" s="11"/>
      <c r="N11" s="11"/>
      <c r="O11" s="269"/>
    </row>
    <row r="12" spans="1:15" x14ac:dyDescent="0.3">
      <c r="A12" s="273"/>
      <c r="B12" s="274"/>
      <c r="C12" s="274"/>
      <c r="D12" s="274"/>
      <c r="E12" s="274"/>
      <c r="F12" s="435" t="s">
        <v>335</v>
      </c>
      <c r="G12" s="435"/>
      <c r="H12" s="435"/>
      <c r="I12" s="11"/>
      <c r="J12" s="11"/>
      <c r="K12" s="11"/>
      <c r="L12" s="11"/>
      <c r="M12" s="11"/>
      <c r="N12" s="11"/>
      <c r="O12" s="269"/>
    </row>
    <row r="13" spans="1:15" ht="16.5" customHeight="1" x14ac:dyDescent="0.3">
      <c r="A13" s="273"/>
      <c r="B13" s="274"/>
      <c r="C13" s="274"/>
      <c r="D13" s="274"/>
      <c r="E13" s="274"/>
      <c r="F13" s="11" t="s">
        <v>336</v>
      </c>
      <c r="G13" s="11"/>
      <c r="H13" s="11"/>
      <c r="I13" s="11"/>
      <c r="J13" s="11"/>
      <c r="K13" s="11"/>
      <c r="L13" s="11"/>
      <c r="M13" s="11"/>
      <c r="N13" s="11"/>
      <c r="O13" s="269"/>
    </row>
    <row r="14" spans="1:15" x14ac:dyDescent="0.3">
      <c r="A14" s="273"/>
      <c r="B14" s="274"/>
      <c r="C14" s="274"/>
      <c r="D14" s="274"/>
      <c r="E14" s="274"/>
      <c r="F14" s="435" t="s">
        <v>337</v>
      </c>
      <c r="G14" s="435"/>
      <c r="H14" s="435"/>
      <c r="I14" s="11"/>
      <c r="J14" s="11"/>
      <c r="K14" s="11"/>
      <c r="L14" s="11"/>
      <c r="M14" s="11"/>
      <c r="N14" s="11"/>
      <c r="O14" s="269"/>
    </row>
    <row r="15" spans="1:15" ht="16.5" customHeight="1" x14ac:dyDescent="0.3">
      <c r="A15" s="273"/>
      <c r="B15" s="274"/>
      <c r="C15" s="274"/>
      <c r="D15" s="274"/>
      <c r="E15" s="274"/>
      <c r="F15" s="11" t="s">
        <v>338</v>
      </c>
      <c r="G15" s="11"/>
      <c r="H15" s="11"/>
      <c r="I15" s="11"/>
      <c r="J15" s="11"/>
      <c r="K15" s="11"/>
      <c r="L15" s="11"/>
      <c r="M15" s="11"/>
      <c r="N15" s="11"/>
      <c r="O15" s="269"/>
    </row>
    <row r="16" spans="1:15" x14ac:dyDescent="0.3">
      <c r="A16" s="273"/>
      <c r="B16" s="274"/>
      <c r="C16" s="274"/>
      <c r="D16" s="274"/>
      <c r="E16" s="274"/>
      <c r="F16" s="435" t="s">
        <v>339</v>
      </c>
      <c r="G16" s="435"/>
      <c r="H16" s="435"/>
      <c r="I16" s="11"/>
      <c r="J16" s="11"/>
      <c r="K16" s="11"/>
      <c r="L16" s="11"/>
      <c r="M16" s="11"/>
      <c r="N16" s="11"/>
      <c r="O16" s="269"/>
    </row>
    <row r="17" spans="1:15" ht="16.5" customHeight="1" x14ac:dyDescent="0.3">
      <c r="A17" s="273"/>
      <c r="B17" s="274"/>
      <c r="C17" s="274"/>
      <c r="D17" s="274"/>
      <c r="E17" s="274"/>
      <c r="F17" s="11" t="s">
        <v>340</v>
      </c>
      <c r="G17" s="11"/>
      <c r="H17" s="11"/>
      <c r="I17" s="11"/>
      <c r="J17" s="11"/>
      <c r="K17" s="11"/>
      <c r="L17" s="11"/>
      <c r="M17" s="11"/>
      <c r="N17" s="11"/>
      <c r="O17" s="269"/>
    </row>
    <row r="18" spans="1:15" x14ac:dyDescent="0.3">
      <c r="A18" s="273"/>
      <c r="B18" s="274"/>
      <c r="C18" s="274"/>
      <c r="D18" s="274"/>
      <c r="E18" s="274"/>
      <c r="F18" s="435" t="s">
        <v>341</v>
      </c>
      <c r="G18" s="435"/>
      <c r="H18" s="435"/>
      <c r="I18" s="11"/>
      <c r="J18" s="11"/>
      <c r="K18" s="11"/>
      <c r="L18" s="11"/>
      <c r="M18" s="11"/>
      <c r="N18" s="11"/>
      <c r="O18" s="269"/>
    </row>
    <row r="19" spans="1:15" ht="16.5" customHeight="1" x14ac:dyDescent="0.3">
      <c r="A19" s="273"/>
      <c r="B19" s="274"/>
      <c r="C19" s="274"/>
      <c r="D19" s="274"/>
      <c r="E19" s="274"/>
      <c r="F19" s="11" t="s">
        <v>342</v>
      </c>
      <c r="G19" s="11"/>
      <c r="H19" s="11"/>
      <c r="I19" s="11"/>
      <c r="J19" s="11"/>
      <c r="K19" s="11"/>
      <c r="L19" s="11"/>
      <c r="M19" s="11"/>
      <c r="N19" s="11"/>
      <c r="O19" s="269"/>
    </row>
    <row r="20" spans="1:15" x14ac:dyDescent="0.3">
      <c r="A20" s="273"/>
      <c r="B20" s="274"/>
      <c r="C20" s="274"/>
      <c r="D20" s="274"/>
      <c r="E20" s="274"/>
      <c r="F20" s="435" t="s">
        <v>343</v>
      </c>
      <c r="G20" s="435"/>
      <c r="H20" s="435"/>
      <c r="I20" s="11"/>
      <c r="J20" s="11"/>
      <c r="K20" s="11"/>
      <c r="L20" s="11"/>
      <c r="M20" s="11"/>
      <c r="N20" s="11"/>
      <c r="O20" s="269"/>
    </row>
    <row r="21" spans="1:15" ht="16.5" customHeight="1" x14ac:dyDescent="0.3">
      <c r="A21" s="273"/>
      <c r="B21" s="274"/>
      <c r="C21" s="274"/>
      <c r="D21" s="274"/>
      <c r="E21" s="274"/>
      <c r="F21" s="11" t="s">
        <v>344</v>
      </c>
      <c r="G21" s="11"/>
      <c r="H21" s="11"/>
      <c r="I21" s="11"/>
      <c r="J21" s="11"/>
      <c r="K21" s="11"/>
      <c r="L21" s="11"/>
      <c r="M21" s="11"/>
      <c r="N21" s="11"/>
      <c r="O21" s="269"/>
    </row>
    <row r="22" spans="1:15" x14ac:dyDescent="0.3">
      <c r="A22" s="273"/>
      <c r="B22" s="274"/>
      <c r="C22" s="274"/>
      <c r="D22" s="274"/>
      <c r="E22" s="274"/>
      <c r="F22" s="435" t="s">
        <v>345</v>
      </c>
      <c r="G22" s="435"/>
      <c r="H22" s="435"/>
      <c r="I22" s="11"/>
      <c r="J22" s="11"/>
      <c r="K22" s="11"/>
      <c r="L22" s="11"/>
      <c r="M22" s="11"/>
      <c r="N22" s="11"/>
      <c r="O22" s="269"/>
    </row>
    <row r="23" spans="1:15" ht="16.5" customHeight="1" x14ac:dyDescent="0.3">
      <c r="A23" s="273"/>
      <c r="B23" s="274"/>
      <c r="C23" s="274"/>
      <c r="D23" s="274"/>
      <c r="E23" s="274"/>
      <c r="F23" s="11" t="s">
        <v>346</v>
      </c>
      <c r="G23" s="11"/>
      <c r="H23" s="11"/>
      <c r="I23" s="11"/>
      <c r="J23" s="11"/>
      <c r="K23" s="11"/>
      <c r="L23" s="11"/>
      <c r="M23" s="11"/>
      <c r="N23" s="11"/>
      <c r="O23" s="269"/>
    </row>
    <row r="24" spans="1:15" x14ac:dyDescent="0.3">
      <c r="A24" s="273"/>
      <c r="B24" s="274"/>
      <c r="C24" s="274"/>
      <c r="D24" s="274"/>
      <c r="E24" s="274"/>
      <c r="F24" s="435" t="s">
        <v>347</v>
      </c>
      <c r="G24" s="435"/>
      <c r="H24" s="435"/>
      <c r="I24" s="11"/>
      <c r="J24" s="11"/>
      <c r="K24" s="11"/>
      <c r="L24" s="11"/>
      <c r="M24" s="11"/>
      <c r="N24" s="11"/>
      <c r="O24" s="269"/>
    </row>
    <row r="25" spans="1:15" ht="16.5" customHeight="1" x14ac:dyDescent="0.3">
      <c r="A25" s="273"/>
      <c r="B25" s="274"/>
      <c r="C25" s="274"/>
      <c r="D25" s="274"/>
      <c r="E25" s="274"/>
      <c r="F25" s="11" t="s">
        <v>348</v>
      </c>
      <c r="G25" s="11"/>
      <c r="H25" s="11"/>
      <c r="I25" s="11"/>
      <c r="J25" s="11"/>
      <c r="K25" s="11"/>
      <c r="L25" s="11"/>
      <c r="M25" s="11"/>
      <c r="N25" s="11"/>
      <c r="O25" s="269"/>
    </row>
    <row r="26" spans="1:15" x14ac:dyDescent="0.3">
      <c r="A26" s="273"/>
      <c r="B26" s="274"/>
      <c r="C26" s="274"/>
      <c r="D26" s="274"/>
      <c r="E26" s="274"/>
      <c r="F26" s="435" t="s">
        <v>349</v>
      </c>
      <c r="G26" s="435"/>
      <c r="H26" s="435"/>
      <c r="I26" s="11"/>
      <c r="J26" s="11"/>
      <c r="K26" s="11"/>
      <c r="L26" s="11"/>
      <c r="M26" s="11"/>
      <c r="N26" s="11"/>
      <c r="O26" s="269"/>
    </row>
    <row r="27" spans="1:15" ht="16.5" customHeight="1" x14ac:dyDescent="0.3">
      <c r="A27" s="273"/>
      <c r="B27" s="274"/>
      <c r="C27" s="274"/>
      <c r="D27" s="274"/>
      <c r="E27" s="274"/>
      <c r="F27" s="11" t="s">
        <v>350</v>
      </c>
      <c r="G27" s="11"/>
      <c r="H27" s="11"/>
      <c r="I27" s="11"/>
      <c r="J27" s="11"/>
      <c r="K27" s="11"/>
      <c r="L27" s="11"/>
      <c r="M27" s="11"/>
      <c r="N27" s="11"/>
      <c r="O27" s="269"/>
    </row>
    <row r="28" spans="1:15" x14ac:dyDescent="0.3">
      <c r="A28" s="273"/>
      <c r="B28" s="274"/>
      <c r="C28" s="274"/>
      <c r="D28" s="274"/>
      <c r="E28" s="274"/>
      <c r="F28" s="435" t="s">
        <v>351</v>
      </c>
      <c r="G28" s="435"/>
      <c r="H28" s="435"/>
      <c r="I28" s="11"/>
      <c r="J28" s="11"/>
      <c r="K28" s="11"/>
      <c r="L28" s="11"/>
      <c r="M28" s="11"/>
      <c r="N28" s="11"/>
      <c r="O28" s="269"/>
    </row>
    <row r="29" spans="1:15" ht="16.5" customHeight="1" x14ac:dyDescent="0.3">
      <c r="A29" s="273"/>
      <c r="B29" s="274"/>
      <c r="C29" s="274"/>
      <c r="D29" s="274"/>
      <c r="E29" s="274"/>
      <c r="F29" s="11" t="s">
        <v>352</v>
      </c>
      <c r="G29" s="11"/>
      <c r="H29" s="11"/>
      <c r="I29" s="11"/>
      <c r="J29" s="11"/>
      <c r="K29" s="11"/>
      <c r="L29" s="11"/>
      <c r="M29" s="11"/>
      <c r="N29" s="11"/>
      <c r="O29" s="269"/>
    </row>
    <row r="30" spans="1:15" x14ac:dyDescent="0.3">
      <c r="A30" s="273"/>
      <c r="B30" s="274"/>
      <c r="C30" s="274"/>
      <c r="D30" s="274"/>
      <c r="E30" s="274"/>
      <c r="F30" s="435" t="s">
        <v>353</v>
      </c>
      <c r="G30" s="435"/>
      <c r="H30" s="435"/>
      <c r="I30" s="11"/>
      <c r="J30" s="11"/>
      <c r="K30" s="11"/>
      <c r="L30" s="11"/>
      <c r="M30" s="11"/>
      <c r="N30" s="11"/>
      <c r="O30" s="269"/>
    </row>
    <row r="31" spans="1:15" ht="16.5" customHeight="1" thickBot="1" x14ac:dyDescent="0.35">
      <c r="A31" s="275"/>
      <c r="B31" s="276"/>
      <c r="C31" s="276"/>
      <c r="D31" s="276"/>
      <c r="E31" s="276"/>
      <c r="F31" s="270" t="s">
        <v>354</v>
      </c>
      <c r="G31" s="270"/>
      <c r="H31" s="270"/>
      <c r="I31" s="270"/>
      <c r="J31" s="270"/>
      <c r="K31" s="270"/>
      <c r="L31" s="270"/>
      <c r="M31" s="270"/>
      <c r="N31" s="270"/>
      <c r="O31" s="271"/>
    </row>
    <row r="32" spans="1:15" ht="16.5" customHeight="1" x14ac:dyDescent="0.3">
      <c r="A32" s="447" t="s">
        <v>355</v>
      </c>
      <c r="B32" s="448"/>
      <c r="C32" s="448"/>
      <c r="D32" s="448"/>
      <c r="E32" s="277"/>
      <c r="F32" s="434" t="s">
        <v>356</v>
      </c>
      <c r="G32" s="434"/>
      <c r="H32" s="434"/>
      <c r="I32" s="267"/>
      <c r="J32" s="267"/>
      <c r="K32" s="267"/>
      <c r="L32" s="267"/>
      <c r="M32" s="267"/>
      <c r="N32" s="267"/>
      <c r="O32" s="268"/>
    </row>
    <row r="33" spans="1:15" ht="16.5" customHeight="1" x14ac:dyDescent="0.3">
      <c r="A33" s="278"/>
      <c r="B33" s="279"/>
      <c r="C33" s="279"/>
      <c r="D33" s="279"/>
      <c r="E33" s="279"/>
      <c r="F33" s="11" t="s">
        <v>357</v>
      </c>
      <c r="G33" s="11"/>
      <c r="H33" s="11"/>
      <c r="I33" s="11"/>
      <c r="J33" s="11"/>
      <c r="K33" s="11"/>
      <c r="L33" s="11"/>
      <c r="M33" s="11"/>
      <c r="N33" s="11"/>
      <c r="O33" s="269"/>
    </row>
    <row r="34" spans="1:15" x14ac:dyDescent="0.3">
      <c r="A34" s="278"/>
      <c r="B34" s="279"/>
      <c r="C34" s="279"/>
      <c r="D34" s="279"/>
      <c r="E34" s="279"/>
      <c r="F34" s="435" t="s">
        <v>358</v>
      </c>
      <c r="G34" s="435"/>
      <c r="H34" s="435"/>
      <c r="I34" s="11"/>
      <c r="J34" s="11"/>
      <c r="K34" s="11"/>
      <c r="L34" s="11"/>
      <c r="M34" s="11"/>
      <c r="N34" s="11"/>
      <c r="O34" s="269"/>
    </row>
    <row r="35" spans="1:15" ht="16.5" customHeight="1" x14ac:dyDescent="0.3">
      <c r="A35" s="278"/>
      <c r="B35" s="279"/>
      <c r="C35" s="279"/>
      <c r="D35" s="279"/>
      <c r="E35" s="279"/>
      <c r="F35" s="11" t="s">
        <v>359</v>
      </c>
      <c r="G35" s="11"/>
      <c r="H35" s="11"/>
      <c r="I35" s="11"/>
      <c r="J35" s="11"/>
      <c r="K35" s="11"/>
      <c r="L35" s="11"/>
      <c r="M35" s="11"/>
      <c r="N35" s="11"/>
      <c r="O35" s="269"/>
    </row>
    <row r="36" spans="1:15" x14ac:dyDescent="0.3">
      <c r="A36" s="278"/>
      <c r="B36" s="279"/>
      <c r="C36" s="279"/>
      <c r="D36" s="279"/>
      <c r="E36" s="279"/>
      <c r="F36" s="435" t="s">
        <v>360</v>
      </c>
      <c r="G36" s="435"/>
      <c r="H36" s="435"/>
      <c r="I36" s="11"/>
      <c r="J36" s="11"/>
      <c r="K36" s="11"/>
      <c r="L36" s="11"/>
      <c r="M36" s="11"/>
      <c r="N36" s="11"/>
      <c r="O36" s="269"/>
    </row>
    <row r="37" spans="1:15" ht="16.5" customHeight="1" x14ac:dyDescent="0.3">
      <c r="A37" s="278"/>
      <c r="B37" s="279"/>
      <c r="C37" s="279"/>
      <c r="D37" s="279"/>
      <c r="E37" s="279"/>
      <c r="F37" s="11" t="s">
        <v>361</v>
      </c>
      <c r="G37" s="11"/>
      <c r="H37" s="11"/>
      <c r="I37" s="11"/>
      <c r="J37" s="11"/>
      <c r="K37" s="11"/>
      <c r="L37" s="11"/>
      <c r="M37" s="11"/>
      <c r="N37" s="11"/>
      <c r="O37" s="269"/>
    </row>
    <row r="38" spans="1:15" x14ac:dyDescent="0.3">
      <c r="A38" s="278"/>
      <c r="B38" s="279"/>
      <c r="C38" s="279"/>
      <c r="D38" s="279"/>
      <c r="E38" s="279"/>
      <c r="F38" s="435" t="s">
        <v>362</v>
      </c>
      <c r="G38" s="435"/>
      <c r="H38" s="435"/>
      <c r="I38" s="11"/>
      <c r="J38" s="11"/>
      <c r="K38" s="11"/>
      <c r="L38" s="11"/>
      <c r="M38" s="11"/>
      <c r="N38" s="11"/>
      <c r="O38" s="269"/>
    </row>
    <row r="39" spans="1:15" ht="16.5" customHeight="1" x14ac:dyDescent="0.3">
      <c r="A39" s="278"/>
      <c r="B39" s="279"/>
      <c r="C39" s="279"/>
      <c r="D39" s="279"/>
      <c r="E39" s="279"/>
      <c r="F39" s="11" t="s">
        <v>363</v>
      </c>
      <c r="G39" s="11"/>
      <c r="H39" s="11"/>
      <c r="I39" s="11"/>
      <c r="J39" s="11"/>
      <c r="K39" s="11"/>
      <c r="L39" s="11"/>
      <c r="M39" s="11"/>
      <c r="N39" s="11"/>
      <c r="O39" s="269"/>
    </row>
    <row r="40" spans="1:15" x14ac:dyDescent="0.3">
      <c r="A40" s="278"/>
      <c r="B40" s="279"/>
      <c r="C40" s="279"/>
      <c r="D40" s="279"/>
      <c r="E40" s="279"/>
      <c r="F40" s="435" t="s">
        <v>364</v>
      </c>
      <c r="G40" s="435"/>
      <c r="H40" s="435"/>
      <c r="I40" s="11"/>
      <c r="J40" s="11"/>
      <c r="K40" s="11"/>
      <c r="L40" s="11"/>
      <c r="M40" s="11"/>
      <c r="N40" s="11"/>
      <c r="O40" s="269"/>
    </row>
    <row r="41" spans="1:15" ht="16.5" customHeight="1" x14ac:dyDescent="0.3">
      <c r="A41" s="278"/>
      <c r="B41" s="279"/>
      <c r="C41" s="279"/>
      <c r="D41" s="279"/>
      <c r="E41" s="279"/>
      <c r="F41" s="11" t="s">
        <v>365</v>
      </c>
      <c r="G41" s="11"/>
      <c r="H41" s="11"/>
      <c r="I41" s="11"/>
      <c r="J41" s="11"/>
      <c r="K41" s="11"/>
      <c r="L41" s="11"/>
      <c r="M41" s="11"/>
      <c r="N41" s="11"/>
      <c r="O41" s="269"/>
    </row>
    <row r="42" spans="1:15" x14ac:dyDescent="0.3">
      <c r="A42" s="278"/>
      <c r="B42" s="279"/>
      <c r="C42" s="279"/>
      <c r="D42" s="279"/>
      <c r="E42" s="279"/>
      <c r="F42" s="435" t="s">
        <v>353</v>
      </c>
      <c r="G42" s="435"/>
      <c r="H42" s="435"/>
      <c r="I42" s="11"/>
      <c r="J42" s="11"/>
      <c r="K42" s="11"/>
      <c r="L42" s="11"/>
      <c r="M42" s="11"/>
      <c r="N42" s="11"/>
      <c r="O42" s="269"/>
    </row>
    <row r="43" spans="1:15" ht="16.5" customHeight="1" x14ac:dyDescent="0.3">
      <c r="A43" s="278"/>
      <c r="B43" s="279"/>
      <c r="C43" s="279"/>
      <c r="D43" s="279"/>
      <c r="E43" s="279"/>
      <c r="F43" s="11" t="s">
        <v>354</v>
      </c>
      <c r="G43" s="11"/>
      <c r="H43" s="11"/>
      <c r="I43" s="11"/>
      <c r="J43" s="11"/>
      <c r="K43" s="11"/>
      <c r="L43" s="11"/>
      <c r="M43" s="11"/>
      <c r="N43" s="11"/>
      <c r="O43" s="269"/>
    </row>
    <row r="44" spans="1:15" x14ac:dyDescent="0.3">
      <c r="A44" s="278"/>
      <c r="B44" s="279"/>
      <c r="C44" s="279"/>
      <c r="D44" s="279"/>
      <c r="E44" s="279"/>
      <c r="F44" s="435" t="s">
        <v>366</v>
      </c>
      <c r="G44" s="435"/>
      <c r="H44" s="435"/>
      <c r="I44" s="11"/>
      <c r="J44" s="11"/>
      <c r="K44" s="11"/>
      <c r="L44" s="11"/>
      <c r="M44" s="11"/>
      <c r="N44" s="11"/>
      <c r="O44" s="269"/>
    </row>
    <row r="45" spans="1:15" ht="16.5" customHeight="1" thickBot="1" x14ac:dyDescent="0.35">
      <c r="A45" s="280"/>
      <c r="B45" s="281"/>
      <c r="C45" s="281"/>
      <c r="D45" s="281"/>
      <c r="E45" s="281"/>
      <c r="F45" s="270" t="s">
        <v>367</v>
      </c>
      <c r="G45" s="270"/>
      <c r="H45" s="270"/>
      <c r="I45" s="270"/>
      <c r="J45" s="270"/>
      <c r="K45" s="270"/>
      <c r="L45" s="270"/>
      <c r="M45" s="270"/>
      <c r="N45" s="270"/>
      <c r="O45" s="271"/>
    </row>
    <row r="46" spans="1:15" ht="16.5" customHeight="1" x14ac:dyDescent="0.3">
      <c r="A46" s="449" t="s">
        <v>368</v>
      </c>
      <c r="B46" s="450"/>
      <c r="C46" s="450"/>
      <c r="D46" s="450"/>
      <c r="E46" s="282"/>
      <c r="F46" s="434" t="s">
        <v>369</v>
      </c>
      <c r="G46" s="434"/>
      <c r="H46" s="434"/>
      <c r="I46" s="267"/>
      <c r="J46" s="267"/>
      <c r="K46" s="267"/>
      <c r="L46" s="267"/>
      <c r="M46" s="267"/>
      <c r="N46" s="267"/>
      <c r="O46" s="268"/>
    </row>
    <row r="47" spans="1:15" ht="16.5" customHeight="1" x14ac:dyDescent="0.3">
      <c r="A47" s="283"/>
      <c r="B47" s="284"/>
      <c r="C47" s="284"/>
      <c r="D47" s="284"/>
      <c r="E47" s="284"/>
      <c r="F47" s="11" t="s">
        <v>370</v>
      </c>
      <c r="G47" s="11"/>
      <c r="H47" s="11"/>
      <c r="I47" s="11"/>
      <c r="J47" s="11"/>
      <c r="K47" s="11"/>
      <c r="L47" s="11"/>
      <c r="M47" s="11"/>
      <c r="N47" s="11"/>
      <c r="O47" s="269"/>
    </row>
    <row r="48" spans="1:15" ht="16.5" customHeight="1" x14ac:dyDescent="0.3">
      <c r="A48" s="283"/>
      <c r="B48" s="284"/>
      <c r="C48" s="284"/>
      <c r="D48" s="284"/>
      <c r="E48" s="284"/>
      <c r="F48" s="435" t="s">
        <v>371</v>
      </c>
      <c r="G48" s="435"/>
      <c r="H48" s="435"/>
      <c r="I48" s="11"/>
      <c r="J48" s="11"/>
      <c r="K48" s="11"/>
      <c r="L48" s="11"/>
      <c r="M48" s="11"/>
      <c r="N48" s="11"/>
      <c r="O48" s="269"/>
    </row>
    <row r="49" spans="1:15" ht="16.5" customHeight="1" thickBot="1" x14ac:dyDescent="0.35">
      <c r="A49" s="285"/>
      <c r="B49" s="286"/>
      <c r="C49" s="286"/>
      <c r="D49" s="286"/>
      <c r="E49" s="286"/>
      <c r="F49" s="270" t="s">
        <v>372</v>
      </c>
      <c r="G49" s="270"/>
      <c r="H49" s="270"/>
      <c r="I49" s="270"/>
      <c r="J49" s="270"/>
      <c r="K49" s="270"/>
      <c r="L49" s="270"/>
      <c r="M49" s="270"/>
      <c r="N49" s="270"/>
      <c r="O49" s="271"/>
    </row>
    <row r="50" spans="1:15" ht="16.5" customHeight="1" x14ac:dyDescent="0.3">
      <c r="A50" s="451" t="s">
        <v>373</v>
      </c>
      <c r="B50" s="452"/>
      <c r="C50" s="452"/>
      <c r="D50" s="452"/>
      <c r="E50" s="287"/>
      <c r="F50" s="434" t="s">
        <v>374</v>
      </c>
      <c r="G50" s="434"/>
      <c r="H50" s="434"/>
      <c r="I50" s="267"/>
      <c r="J50" s="267"/>
      <c r="K50" s="267"/>
      <c r="L50" s="267"/>
      <c r="M50" s="267"/>
      <c r="N50" s="267"/>
      <c r="O50" s="268"/>
    </row>
    <row r="51" spans="1:15" ht="16.5" customHeight="1" x14ac:dyDescent="0.3">
      <c r="A51" s="288"/>
      <c r="B51" s="289"/>
      <c r="C51" s="289"/>
      <c r="D51" s="289"/>
      <c r="E51" s="289"/>
      <c r="F51" s="11" t="s">
        <v>375</v>
      </c>
      <c r="G51" s="11"/>
      <c r="H51" s="11"/>
      <c r="I51" s="11"/>
      <c r="J51" s="11"/>
      <c r="K51" s="11"/>
      <c r="L51" s="11"/>
      <c r="M51" s="11"/>
      <c r="N51" s="11"/>
      <c r="O51" s="269"/>
    </row>
    <row r="52" spans="1:15" ht="16.5" customHeight="1" x14ac:dyDescent="0.3">
      <c r="A52" s="288"/>
      <c r="B52" s="289"/>
      <c r="C52" s="289"/>
      <c r="D52" s="289"/>
      <c r="E52" s="289"/>
      <c r="F52" s="435" t="s">
        <v>376</v>
      </c>
      <c r="G52" s="435"/>
      <c r="H52" s="435"/>
      <c r="I52" s="11"/>
      <c r="J52" s="11"/>
      <c r="K52" s="11"/>
      <c r="L52" s="11"/>
      <c r="M52" s="11"/>
      <c r="N52" s="11"/>
      <c r="O52" s="269"/>
    </row>
    <row r="53" spans="1:15" ht="16.5" customHeight="1" x14ac:dyDescent="0.3">
      <c r="A53" s="288"/>
      <c r="B53" s="289"/>
      <c r="C53" s="289"/>
      <c r="D53" s="289"/>
      <c r="E53" s="289"/>
      <c r="F53" s="11" t="s">
        <v>377</v>
      </c>
      <c r="G53" s="11"/>
      <c r="H53" s="11"/>
      <c r="I53" s="11"/>
      <c r="J53" s="11"/>
      <c r="K53" s="11"/>
      <c r="L53" s="11"/>
      <c r="M53" s="11"/>
      <c r="N53" s="11"/>
      <c r="O53" s="269"/>
    </row>
    <row r="54" spans="1:15" ht="16.5" customHeight="1" x14ac:dyDescent="0.3">
      <c r="A54" s="288"/>
      <c r="B54" s="289"/>
      <c r="C54" s="289"/>
      <c r="D54" s="289"/>
      <c r="E54" s="289"/>
      <c r="F54" s="435" t="s">
        <v>378</v>
      </c>
      <c r="G54" s="435"/>
      <c r="H54" s="435"/>
      <c r="I54" s="11"/>
      <c r="J54" s="11"/>
      <c r="K54" s="11"/>
      <c r="L54" s="11"/>
      <c r="M54" s="11"/>
      <c r="N54" s="11"/>
      <c r="O54" s="269"/>
    </row>
    <row r="55" spans="1:15" ht="16.5" customHeight="1" thickBot="1" x14ac:dyDescent="0.35">
      <c r="A55" s="290"/>
      <c r="B55" s="291"/>
      <c r="C55" s="291"/>
      <c r="D55" s="291"/>
      <c r="E55" s="291"/>
      <c r="F55" s="270" t="s">
        <v>379</v>
      </c>
      <c r="G55" s="270"/>
      <c r="H55" s="270"/>
      <c r="I55" s="270"/>
      <c r="J55" s="270"/>
      <c r="K55" s="270"/>
      <c r="L55" s="270"/>
      <c r="M55" s="270"/>
      <c r="N55" s="270"/>
      <c r="O55" s="271"/>
    </row>
    <row r="56" spans="1:15" ht="16.5" customHeight="1" x14ac:dyDescent="0.3">
      <c r="A56" s="436" t="s">
        <v>380</v>
      </c>
      <c r="B56" s="437"/>
      <c r="C56" s="437"/>
      <c r="D56" s="437"/>
      <c r="E56" s="292"/>
      <c r="F56" s="434" t="s">
        <v>381</v>
      </c>
      <c r="G56" s="434"/>
      <c r="H56" s="434"/>
      <c r="I56" s="267"/>
      <c r="J56" s="267"/>
      <c r="K56" s="267"/>
      <c r="L56" s="267"/>
      <c r="M56" s="267"/>
      <c r="N56" s="267"/>
      <c r="O56" s="268"/>
    </row>
    <row r="57" spans="1:15" ht="16.5" customHeight="1" x14ac:dyDescent="0.3">
      <c r="A57" s="293"/>
      <c r="B57" s="294"/>
      <c r="C57" s="294"/>
      <c r="D57" s="294"/>
      <c r="E57" s="294"/>
      <c r="F57" s="11" t="s">
        <v>382</v>
      </c>
      <c r="G57" s="11"/>
      <c r="H57" s="11"/>
      <c r="I57" s="11"/>
      <c r="J57" s="11"/>
      <c r="K57" s="11"/>
      <c r="L57" s="11"/>
      <c r="M57" s="11"/>
      <c r="N57" s="11"/>
      <c r="O57" s="269"/>
    </row>
    <row r="58" spans="1:15" ht="16.5" customHeight="1" thickBot="1" x14ac:dyDescent="0.35">
      <c r="A58" s="295"/>
      <c r="B58" s="296"/>
      <c r="C58" s="296"/>
      <c r="D58" s="296"/>
      <c r="E58" s="296"/>
      <c r="F58" s="270"/>
      <c r="G58" s="270"/>
      <c r="H58" s="270"/>
      <c r="I58" s="270"/>
      <c r="J58" s="270"/>
      <c r="K58" s="270"/>
      <c r="L58" s="270"/>
      <c r="M58" s="270"/>
      <c r="N58" s="270"/>
      <c r="O58" s="271"/>
    </row>
    <row r="59" spans="1:15" ht="16.5" customHeight="1" x14ac:dyDescent="0.3">
      <c r="A59" s="438" t="s">
        <v>383</v>
      </c>
      <c r="B59" s="439"/>
      <c r="C59" s="439"/>
      <c r="D59" s="439"/>
      <c r="E59" s="297"/>
      <c r="F59" s="434" t="s">
        <v>384</v>
      </c>
      <c r="G59" s="434"/>
      <c r="H59" s="434"/>
      <c r="I59" s="267"/>
      <c r="J59" s="267"/>
      <c r="K59" s="267"/>
      <c r="L59" s="267"/>
      <c r="M59" s="267"/>
      <c r="N59" s="267"/>
      <c r="O59" s="268"/>
    </row>
    <row r="60" spans="1:15" x14ac:dyDescent="0.3">
      <c r="A60" s="298"/>
      <c r="B60" s="299"/>
      <c r="C60" s="299"/>
      <c r="D60" s="299"/>
      <c r="E60" s="299"/>
      <c r="F60" s="11" t="s">
        <v>385</v>
      </c>
      <c r="G60" s="11"/>
      <c r="H60" s="11"/>
      <c r="I60" s="11"/>
      <c r="J60" s="11"/>
      <c r="K60" s="11"/>
      <c r="L60" s="11"/>
      <c r="M60" s="11"/>
      <c r="N60" s="11"/>
      <c r="O60" s="269"/>
    </row>
    <row r="61" spans="1:15" ht="16.5" customHeight="1" x14ac:dyDescent="0.3">
      <c r="A61" s="298"/>
      <c r="B61" s="299"/>
      <c r="C61" s="299"/>
      <c r="D61" s="299"/>
      <c r="E61" s="299"/>
      <c r="F61" s="11"/>
      <c r="G61" s="11"/>
      <c r="H61" s="11"/>
      <c r="I61" s="11"/>
      <c r="J61" s="11"/>
      <c r="K61" s="11"/>
      <c r="L61" s="11"/>
      <c r="M61" s="11"/>
      <c r="N61" s="11"/>
      <c r="O61" s="269"/>
    </row>
    <row r="62" spans="1:15" x14ac:dyDescent="0.3">
      <c r="A62" s="298"/>
      <c r="B62" s="299"/>
      <c r="C62" s="299"/>
      <c r="D62" s="299"/>
      <c r="E62" s="299"/>
      <c r="F62" s="435" t="s">
        <v>386</v>
      </c>
      <c r="G62" s="435"/>
      <c r="H62" s="435"/>
      <c r="I62" s="11"/>
      <c r="J62" s="11"/>
      <c r="K62" s="11"/>
      <c r="L62" s="11"/>
      <c r="M62" s="11"/>
      <c r="N62" s="11"/>
      <c r="O62" s="269"/>
    </row>
    <row r="63" spans="1:15" ht="16.5" customHeight="1" thickBot="1" x14ac:dyDescent="0.35">
      <c r="A63" s="300"/>
      <c r="B63" s="301"/>
      <c r="C63" s="301"/>
      <c r="D63" s="301"/>
      <c r="E63" s="301"/>
      <c r="F63" s="270" t="s">
        <v>387</v>
      </c>
      <c r="G63" s="270"/>
      <c r="H63" s="270"/>
      <c r="I63" s="270"/>
      <c r="J63" s="270"/>
      <c r="K63" s="270"/>
      <c r="L63" s="270"/>
      <c r="M63" s="270"/>
      <c r="N63" s="270"/>
      <c r="O63" s="271"/>
    </row>
    <row r="64" spans="1:15" ht="16.5" customHeight="1" x14ac:dyDescent="0.3">
      <c r="A64" s="7" t="s">
        <v>391</v>
      </c>
    </row>
  </sheetData>
  <mergeCells count="37">
    <mergeCell ref="A56:D56"/>
    <mergeCell ref="A59:D59"/>
    <mergeCell ref="A1:O1"/>
    <mergeCell ref="A2:O2"/>
    <mergeCell ref="A3:O6"/>
    <mergeCell ref="A8:E8"/>
    <mergeCell ref="F8:O8"/>
    <mergeCell ref="F20:H20"/>
    <mergeCell ref="A10:D10"/>
    <mergeCell ref="A32:D32"/>
    <mergeCell ref="A46:D46"/>
    <mergeCell ref="A50:D50"/>
    <mergeCell ref="F10:H10"/>
    <mergeCell ref="F12:H12"/>
    <mergeCell ref="F14:H14"/>
    <mergeCell ref="F16:H16"/>
    <mergeCell ref="F18:H18"/>
    <mergeCell ref="F44:H44"/>
    <mergeCell ref="F22:H22"/>
    <mergeCell ref="F24:H24"/>
    <mergeCell ref="F26:H26"/>
    <mergeCell ref="F28:H28"/>
    <mergeCell ref="F30:H30"/>
    <mergeCell ref="F32:H32"/>
    <mergeCell ref="F34:H34"/>
    <mergeCell ref="F36:H36"/>
    <mergeCell ref="F38:H38"/>
    <mergeCell ref="F40:H40"/>
    <mergeCell ref="F42:H42"/>
    <mergeCell ref="F59:H59"/>
    <mergeCell ref="F62:H62"/>
    <mergeCell ref="F46:H46"/>
    <mergeCell ref="F48:H48"/>
    <mergeCell ref="F50:H50"/>
    <mergeCell ref="F52:H52"/>
    <mergeCell ref="F54:H54"/>
    <mergeCell ref="F56:H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Cover Page</vt:lpstr>
      <vt:lpstr>Summary Sheet</vt:lpstr>
      <vt:lpstr>Income Statement</vt:lpstr>
      <vt:lpstr>Balance Sheet</vt:lpstr>
      <vt:lpstr>Cash Flow</vt:lpstr>
      <vt:lpstr>Beta</vt:lpstr>
      <vt:lpstr>WACC &amp; Valuation</vt:lpstr>
      <vt:lpstr>Tornado Chart</vt:lpstr>
      <vt:lpstr>Multiples based Valuation</vt:lpstr>
      <vt:lpstr>Customer wise Revenue</vt:lpstr>
      <vt:lpstr>Ratios &amp; Indicators</vt:lpstr>
      <vt:lpstr>SWOT Analysis</vt:lpstr>
      <vt:lpstr>Key Products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Khurram</dc:creator>
  <cp:lastModifiedBy>Ni Yang</cp:lastModifiedBy>
  <dcterms:created xsi:type="dcterms:W3CDTF">2020-05-06T16:38:21Z</dcterms:created>
  <dcterms:modified xsi:type="dcterms:W3CDTF">2025-04-04T04:55:08Z</dcterms:modified>
</cp:coreProperties>
</file>